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 Work\North Dakota\NDDWR.C001.ASR-GW\models\elk\ies_run_tracker\"/>
    </mc:Choice>
  </mc:AlternateContent>
  <xr:revisionPtr revIDLastSave="0" documentId="13_ncr:1_{ADBD91B7-2F94-48DD-9C55-B75FCFE7AF59}" xr6:coauthVersionLast="47" xr6:coauthVersionMax="47" xr10:uidLastSave="{00000000-0000-0000-0000-000000000000}"/>
  <bookViews>
    <workbookView xWindow="28680" yWindow="-915" windowWidth="29040" windowHeight="15720" activeTab="1" xr2:uid="{00000000-000D-0000-FFFF-FFFF00000000}"/>
  </bookViews>
  <sheets>
    <sheet name="parm_controls" sheetId="1" r:id="rId1"/>
    <sheet name="parameter_summary" sheetId="2" r:id="rId2"/>
    <sheet name="phi_fac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<sst xmlns="http://schemas.openxmlformats.org/spreadsheetml/2006/main" count="217" uniqueCount="146">
  <si>
    <t>parm</t>
  </si>
  <si>
    <t>layers</t>
  </si>
  <si>
    <t>change</t>
  </si>
  <si>
    <t>type</t>
  </si>
  <si>
    <t>lbound</t>
  </si>
  <si>
    <t>ubound</t>
  </si>
  <si>
    <t>ult_lbound</t>
  </si>
  <si>
    <t>ult_ubound</t>
  </si>
  <si>
    <t>initial_value</t>
  </si>
  <si>
    <t>k_cn</t>
  </si>
  <si>
    <t>aniso_cn</t>
  </si>
  <si>
    <t>ss_cn</t>
  </si>
  <si>
    <t>sy_cn</t>
  </si>
  <si>
    <t>rch_cn</t>
  </si>
  <si>
    <t>rcht_cn</t>
  </si>
  <si>
    <t>rivcond_cn</t>
  </si>
  <si>
    <t>rivstg_cn</t>
  </si>
  <si>
    <t>drncond_cn</t>
  </si>
  <si>
    <t>drnstg_cn</t>
  </si>
  <si>
    <t>all</t>
  </si>
  <si>
    <t>0</t>
  </si>
  <si>
    <t>factor</t>
  </si>
  <si>
    <t>constant</t>
  </si>
  <si>
    <t>category</t>
  </si>
  <si>
    <t>par_name_pattern</t>
  </si>
  <si>
    <t>par_type</t>
  </si>
  <si>
    <t>target_files</t>
  </si>
  <si>
    <t>lower_bound</t>
  </si>
  <si>
    <t>upper_bound</t>
  </si>
  <si>
    <t>ultimate_lower_bound</t>
  </si>
  <si>
    <t>ultimate_upper_bound</t>
  </si>
  <si>
    <t>requires_flex_con</t>
  </si>
  <si>
    <t>requires_high_dimensional</t>
  </si>
  <si>
    <t>notes</t>
  </si>
  <si>
    <t>used_in_this_run</t>
  </si>
  <si>
    <t>pp_geostruct_name</t>
  </si>
  <si>
    <t>pp_variogram_type</t>
  </si>
  <si>
    <t>pp_range_primary</t>
  </si>
  <si>
    <t>pp_bearing_deg</t>
  </si>
  <si>
    <t>pp_transform</t>
  </si>
  <si>
    <t>pp_space</t>
  </si>
  <si>
    <t>npf_k</t>
  </si>
  <si>
    <t>sto_ss</t>
  </si>
  <si>
    <t>sto_sy</t>
  </si>
  <si>
    <t>npf_k33</t>
  </si>
  <si>
    <t>rch</t>
  </si>
  <si>
    <t>riv</t>
  </si>
  <si>
    <t>drn</t>
  </si>
  <si>
    <t>drn_ag</t>
  </si>
  <si>
    <t>drn_wl</t>
  </si>
  <si>
    <t>wel</t>
  </si>
  <si>
    <t>ghb</t>
  </si>
  <si>
    <t>cn-k_k:{k:03d} (k=000 for layer 0)</t>
  </si>
  <si>
    <t>cn-k_k:{k:03d} (k&gt;=001)</t>
  </si>
  <si>
    <t>pp-k_k:{k:03d}</t>
  </si>
  <si>
    <t>cn-sto_ss_k:{k:03d} (k&gt;=001)</t>
  </si>
  <si>
    <t>pp-sto_ss_k:{k:03d} (k&gt;=001)</t>
  </si>
  <si>
    <t>cn-sto_sy_k:{k:03d}</t>
  </si>
  <si>
    <t>pp-sto_sy_k:{k:03d}</t>
  </si>
  <si>
    <t>(none – aniso_cn not wired in)</t>
  </si>
  <si>
    <t>rcht_{kper:03d} (PP)</t>
  </si>
  <si>
    <t>rcht_{kper:03d} (constant)</t>
  </si>
  <si>
    <t>rivcond-cn</t>
  </si>
  <si>
    <t>rivstg-cn</t>
  </si>
  <si>
    <t>drncond-cn</t>
  </si>
  <si>
    <t>drnstg-cn</t>
  </si>
  <si>
    <t>drnag_cn</t>
  </si>
  <si>
    <t>drnagstg-cn</t>
  </si>
  <si>
    <t>drnag_cn (WL)</t>
  </si>
  <si>
    <t>drnagstg-cn (WL)</t>
  </si>
  <si>
    <t>globalwel-mlt-{tag}</t>
  </si>
  <si>
    <t>twel-mlt-{tag}_kper:{sp:04d}</t>
  </si>
  <si>
    <t>swel-mlt-{tag}</t>
  </si>
  <si>
    <t>ghb_stg_cn</t>
  </si>
  <si>
    <t>ghb_condcn</t>
  </si>
  <si>
    <t>pilotpoints</t>
  </si>
  <si>
    <t>(not used)</t>
  </si>
  <si>
    <t>constant (by cell)</t>
  </si>
  <si>
    <t>constant (additive stage)</t>
  </si>
  <si>
    <t>constant (time-varying)</t>
  </si>
  <si>
    <t>grid</t>
  </si>
  <si>
    <t>*k_layer1.txt (layer index 0)</t>
  </si>
  <si>
    <t>*k_layer{lay}.txt (layers 2+)</t>
  </si>
  <si>
    <t>*k_layer{lay}.txt</t>
  </si>
  <si>
    <t>sto_ss_layer{lay}.txt (layers &gt;=2)</t>
  </si>
  <si>
    <t>sto_sy_layer{lay}.txt</t>
  </si>
  <si>
    <t>k33_*</t>
  </si>
  <si>
    <t>rch_*.txt (one per stress period)</t>
  </si>
  <si>
    <t>rch_*.txt</t>
  </si>
  <si>
    <t>riv_stress_*.txt, use_cols=[4]</t>
  </si>
  <si>
    <t>riv_stress_*.txt, use_cols=[3]</t>
  </si>
  <si>
    <t>drn_stress_*.txt, use_cols=[4]</t>
  </si>
  <si>
    <t>drn_stress_*.txt, use_cols=[3]</t>
  </si>
  <si>
    <t>drn_ag_stress_*.txt, use_cols=[4]</t>
  </si>
  <si>
    <t>drn_ag_stress_*.txt, use_cols=[3]</t>
  </si>
  <si>
    <t>drn2_wl_stress_*.txt, use_cols=[4]</t>
  </si>
  <si>
    <t>drn2_wl_stress_*.txt, use_cols=[3]</t>
  </si>
  <si>
    <t>*wel*_stress_period_data_*.txt, use_cols=[3]</t>
  </si>
  <si>
    <t>ghb_*.txt, use_cols=[3]</t>
  </si>
  <si>
    <t>ghb_*.txt, use_cols=[4]</t>
  </si>
  <si>
    <t>Overrides parm_controls k_cn (1e-3–1e2). Zone-based constant multiplier for K in layer 0; no ult bounds used.</t>
  </si>
  <si>
    <t>Overrides parm_controls k_cn (1e-3–1e2). Zone-based constant multipliers for K in layers &gt;1; no ult bounds used.</t>
  </si>
  <si>
    <t>Spatial pilot-point multipliers on K; geostruct k_pp_geo with pp_space=8; ult bounds not specified.</t>
  </si>
  <si>
    <t>Only layers k&gt;0. Uses parm_controls ss_cn ult_lbound/ult_ubound as 'ultimate' bounds; working bounds 0.01–10.</t>
  </si>
  <si>
    <t>Pilot points for SS, layers k&gt;0; spatial PP structure via k_pp_geo; same ult bounds as ss_cn.</t>
  </si>
  <si>
    <t>Overrides parm_controls sy_cn (0.1–3.0). Working bounds 0.33–1.5, ultimate 0.01–0.25.</t>
  </si>
  <si>
    <t>Pilot-point multipliers for Sy; same bounds as cn-sto_sy_k; uses k_pp_geo.</t>
  </si>
  <si>
    <t>aniso_cn is defined in parm_controls, but k33_files are removed from stacked_files; no PEST parameters are created for K33 in this script.</t>
  </si>
  <si>
    <t>Spatial recharge multipliers via pilot points; geostruct rch_pp_geo (a=5280*7, pp_space=24).</t>
  </si>
  <si>
    <t>Time-series recharge multipliers with temporal_gs; pre/post-1999 handled via datetime, but same 0.1–5 bounds in code.</t>
  </si>
  <si>
    <t>Cell-wise RIV conductance multipliers; bounds from parm_controls rivcond_cn.</t>
  </si>
  <si>
    <t>Additive stage parameters (par_style='a', transform='none'); overrides parm_controls rivstg_cn (-5–5).</t>
  </si>
  <si>
    <t>Drain conductance multipliers using drncond_cn bounds.</t>
  </si>
  <si>
    <t>Additive stage for DRN; bounds from drnstg_cn in parm_controls.</t>
  </si>
  <si>
    <t>Ag-drain conductance; same bounds as drncond_cn.</t>
  </si>
  <si>
    <t>Additive ag-drain stage; hard-coded -5 to 5.</t>
  </si>
  <si>
    <t>WL-drain conductance; same bounds as drncond_cn.</t>
  </si>
  <si>
    <t>Additive WL-drain stage; hard-coded -10 to 20.</t>
  </si>
  <si>
    <t>Global well-rate multipliers per WEL package prefix; constant in time and space.</t>
  </si>
  <si>
    <t>Time-varying well multipliers for kper&gt;=4; correlated in time using temporal_gs.</t>
  </si>
  <si>
    <t>Spatial grid multipliers on WEL rates, constant in time; geostatistical spatial correlation implied by 'grid' type.</t>
  </si>
  <si>
    <t>Additive GHB stage parameters (par_style='a', transform='none').</t>
  </si>
  <si>
    <t>Cell-wise GHB conductance multipliers; hard-coded 0.01–300.</t>
  </si>
  <si>
    <t>k_pp_geo</t>
  </si>
  <si>
    <t>rch_pp_geo</t>
  </si>
  <si>
    <t>exponential</t>
  </si>
  <si>
    <t>log</t>
  </si>
  <si>
    <t>none</t>
  </si>
  <si>
    <t>observation_group</t>
  </si>
  <si>
    <t>raw_factor</t>
  </si>
  <si>
    <t>normalized_factor</t>
  </si>
  <si>
    <t>percentage_of_total</t>
  </si>
  <si>
    <t>sshds</t>
  </si>
  <si>
    <t>transhds</t>
  </si>
  <si>
    <t>transearlyhds</t>
  </si>
  <si>
    <t>ddtrgs</t>
  </si>
  <si>
    <t>Mel's Notes</t>
  </si>
  <si>
    <t xml:space="preserve">Let's set ult lower and upper for these </t>
  </si>
  <si>
    <t>May need to add this back in if Cal looks bad</t>
  </si>
  <si>
    <t>Lowered this from 10 to 5, hopefully will keep it reasonable but may not meet cal as well</t>
  </si>
  <si>
    <t>Model setup parm value</t>
  </si>
  <si>
    <t>SWB</t>
  </si>
  <si>
    <t>dropped this bound for this run</t>
  </si>
  <si>
    <t>Layer 1 initial value was changed for this run</t>
  </si>
  <si>
    <t>Layer 1 - 50, layer 2 - 100</t>
  </si>
  <si>
    <t>added ghb back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</si>
</sst>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/>
    <xf numFmtId="1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H26" sqref="H2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19</v>
      </c>
      <c r="C2" t="s">
        <v>21</v>
      </c>
      <c r="D2" t="s">
        <v>22</v>
      </c>
      <c r="E2">
        <v>1E-3</v>
      </c>
      <c r="F2">
        <v>100</v>
      </c>
      <c r="G2">
        <v>0.1</v>
      </c>
      <c r="H2">
        <v>1000</v>
      </c>
      <c r="I2">
        <v>1</v>
      </c>
    </row>
    <row r="3" spans="1:9" x14ac:dyDescent="0.25">
      <c r="A3" t="s">
        <v>10</v>
      </c>
      <c r="B3" t="s">
        <v>19</v>
      </c>
      <c r="C3" t="s">
        <v>21</v>
      </c>
      <c r="D3" t="s">
        <v>22</v>
      </c>
      <c r="E3">
        <v>0.01</v>
      </c>
      <c r="F3">
        <v>10</v>
      </c>
      <c r="G3">
        <v>1E-8</v>
      </c>
      <c r="H3">
        <v>1</v>
      </c>
      <c r="I3">
        <v>1</v>
      </c>
    </row>
    <row r="4" spans="1:9" x14ac:dyDescent="0.25">
      <c r="A4" t="s">
        <v>11</v>
      </c>
      <c r="B4" t="s">
        <v>19</v>
      </c>
      <c r="C4" t="s">
        <v>21</v>
      </c>
      <c r="D4" t="s">
        <v>22</v>
      </c>
      <c r="E4">
        <v>1E-3</v>
      </c>
      <c r="F4">
        <v>1000</v>
      </c>
      <c r="G4">
        <v>9.9999999999999995E-8</v>
      </c>
      <c r="H4">
        <v>1E-3</v>
      </c>
      <c r="I4">
        <v>1</v>
      </c>
    </row>
    <row r="5" spans="1:9" x14ac:dyDescent="0.25">
      <c r="A5" t="s">
        <v>12</v>
      </c>
      <c r="B5" t="s">
        <v>19</v>
      </c>
      <c r="C5" t="s">
        <v>21</v>
      </c>
      <c r="D5" t="s">
        <v>22</v>
      </c>
      <c r="E5">
        <v>0.1</v>
      </c>
      <c r="F5">
        <v>3</v>
      </c>
      <c r="G5">
        <v>0.01</v>
      </c>
      <c r="H5">
        <v>0.25</v>
      </c>
      <c r="I5">
        <v>1</v>
      </c>
    </row>
    <row r="6" spans="1:9" x14ac:dyDescent="0.25">
      <c r="A6" t="s">
        <v>13</v>
      </c>
      <c r="B6" t="s">
        <v>20</v>
      </c>
      <c r="C6" t="s">
        <v>21</v>
      </c>
      <c r="D6" t="s">
        <v>22</v>
      </c>
      <c r="E6">
        <v>0.5</v>
      </c>
      <c r="F6">
        <v>3</v>
      </c>
      <c r="G6">
        <v>0</v>
      </c>
      <c r="H6">
        <v>5.0000000000000001E-3</v>
      </c>
      <c r="I6">
        <v>1</v>
      </c>
    </row>
    <row r="7" spans="1:9" x14ac:dyDescent="0.25">
      <c r="A7" t="s">
        <v>14</v>
      </c>
      <c r="B7" t="s">
        <v>20</v>
      </c>
      <c r="C7" t="s">
        <v>21</v>
      </c>
      <c r="D7" t="s">
        <v>22</v>
      </c>
      <c r="E7">
        <v>0.5</v>
      </c>
      <c r="F7">
        <v>2</v>
      </c>
      <c r="G7">
        <v>0</v>
      </c>
      <c r="H7">
        <v>5.0000000000000001E-3</v>
      </c>
      <c r="I7">
        <v>1</v>
      </c>
    </row>
    <row r="8" spans="1:9" x14ac:dyDescent="0.25">
      <c r="A8" t="s">
        <v>15</v>
      </c>
      <c r="B8" t="s">
        <v>20</v>
      </c>
      <c r="C8" t="s">
        <v>21</v>
      </c>
      <c r="D8" t="s">
        <v>22</v>
      </c>
      <c r="E8">
        <v>0.01</v>
      </c>
      <c r="F8">
        <v>100</v>
      </c>
      <c r="G8">
        <v>1E-4</v>
      </c>
      <c r="H8">
        <v>80000</v>
      </c>
      <c r="I8">
        <v>1</v>
      </c>
    </row>
    <row r="9" spans="1:9" x14ac:dyDescent="0.25">
      <c r="A9" t="s">
        <v>16</v>
      </c>
      <c r="B9" t="s">
        <v>20</v>
      </c>
      <c r="C9" t="s">
        <v>21</v>
      </c>
      <c r="D9" t="s">
        <v>22</v>
      </c>
      <c r="E9">
        <v>-5</v>
      </c>
      <c r="F9">
        <v>5</v>
      </c>
      <c r="G9">
        <v>9.9999999999999995E-8</v>
      </c>
      <c r="H9">
        <v>100000</v>
      </c>
      <c r="I9">
        <v>1</v>
      </c>
    </row>
    <row r="10" spans="1:9" x14ac:dyDescent="0.25">
      <c r="A10" t="s">
        <v>17</v>
      </c>
      <c r="B10" t="s">
        <v>20</v>
      </c>
      <c r="C10" t="s">
        <v>21</v>
      </c>
      <c r="D10" t="s">
        <v>22</v>
      </c>
      <c r="E10">
        <v>0.01</v>
      </c>
      <c r="F10">
        <v>100</v>
      </c>
      <c r="G10">
        <v>1E-4</v>
      </c>
      <c r="H10">
        <v>100000</v>
      </c>
      <c r="I10">
        <v>1</v>
      </c>
    </row>
    <row r="11" spans="1:9" x14ac:dyDescent="0.25">
      <c r="A11" t="s">
        <v>18</v>
      </c>
      <c r="B11" t="s">
        <v>20</v>
      </c>
      <c r="C11" t="s">
        <v>21</v>
      </c>
      <c r="D11" t="s">
        <v>22</v>
      </c>
      <c r="E11">
        <v>-5</v>
      </c>
      <c r="F11">
        <v>5</v>
      </c>
      <c r="G11">
        <v>9.9999999999999995E-8</v>
      </c>
      <c r="H11">
        <v>100000</v>
      </c>
      <c r="I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4"/>
  <sheetViews>
    <sheetView tabSelected="1" workbookViewId="0">
      <selection activeCell="J9" sqref="J9"/>
    </sheetView>
  </sheetViews>
  <sheetFormatPr defaultRowHeight="15" x14ac:dyDescent="0.25"/>
  <cols>
    <col min="1" max="1" width="16.42578125" style="3" customWidth="1"/>
    <col min="2" max="2" width="13.140625" customWidth="1"/>
    <col min="3" max="3" width="11.85546875" customWidth="1"/>
    <col min="4" max="4" width="32" customWidth="1"/>
    <col min="5" max="5" width="24.140625" customWidth="1"/>
    <col min="6" max="6" width="32.5703125" customWidth="1"/>
    <col min="7" max="7" width="12.5703125" customWidth="1"/>
    <col min="8" max="8" width="14.42578125" customWidth="1"/>
    <col min="9" max="9" width="12.5703125" customWidth="1"/>
    <col min="10" max="10" width="18.140625" customWidth="1"/>
    <col min="11" max="12" width="17.85546875" customWidth="1"/>
    <col min="13" max="13" width="22.140625" customWidth="1"/>
    <col min="14" max="14" width="25.28515625" customWidth="1"/>
    <col min="15" max="15" width="16.5703125" customWidth="1"/>
    <col min="16" max="16" width="20.28515625" customWidth="1"/>
    <col min="17" max="17" width="20" customWidth="1"/>
    <col min="18" max="19" width="18.85546875" customWidth="1"/>
    <col min="21" max="21" width="63.85546875" style="3" customWidth="1"/>
  </cols>
  <sheetData>
    <row r="1" spans="1:21" s="3" customFormat="1" ht="30" x14ac:dyDescent="0.25">
      <c r="A1" s="3" t="s">
        <v>136</v>
      </c>
      <c r="B1" s="2" t="s">
        <v>34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8</v>
      </c>
      <c r="L1" s="2" t="s">
        <v>140</v>
      </c>
      <c r="M1" s="2" t="s">
        <v>31</v>
      </c>
      <c r="N1" s="2" t="s">
        <v>32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33</v>
      </c>
    </row>
    <row r="2" spans="1:21" ht="45" x14ac:dyDescent="0.25">
      <c r="A2" s="3" t="s">
        <v>137</v>
      </c>
      <c r="B2" t="b">
        <v>1</v>
      </c>
      <c r="C2" t="s">
        <v>41</v>
      </c>
      <c r="D2" t="s">
        <v>52</v>
      </c>
      <c r="E2" t="s">
        <v>22</v>
      </c>
      <c r="F2" t="s">
        <v>81</v>
      </c>
      <c r="G2">
        <v>0.01</v>
      </c>
      <c r="H2">
        <v>5</v>
      </c>
      <c r="K2">
        <v>1</v>
      </c>
      <c r="L2">
        <v>100</v>
      </c>
      <c r="M2">
        <v>0</v>
      </c>
      <c r="U2" s="3" t="s">
        <v>100</v>
      </c>
    </row>
    <row r="3" spans="1:21" ht="45" x14ac:dyDescent="0.25">
      <c r="A3" s="3" t="s">
        <v>137</v>
      </c>
      <c r="B3" t="b">
        <v>1</v>
      </c>
      <c r="C3" t="s">
        <v>41</v>
      </c>
      <c r="D3" t="s">
        <v>53</v>
      </c>
      <c r="E3" t="s">
        <v>22</v>
      </c>
      <c r="F3" t="s">
        <v>82</v>
      </c>
      <c r="G3">
        <v>0.1</v>
      </c>
      <c r="H3">
        <v>10</v>
      </c>
      <c r="K3">
        <v>1</v>
      </c>
      <c r="L3">
        <v>100</v>
      </c>
      <c r="M3">
        <v>0</v>
      </c>
      <c r="U3" s="3" t="s">
        <v>101</v>
      </c>
    </row>
    <row r="4" spans="1:21" ht="60" x14ac:dyDescent="0.25">
      <c r="A4" s="3" t="s">
        <v>143</v>
      </c>
      <c r="B4" t="b">
        <v>1</v>
      </c>
      <c r="C4" t="s">
        <v>41</v>
      </c>
      <c r="D4" t="s">
        <v>54</v>
      </c>
      <c r="E4" t="s">
        <v>75</v>
      </c>
      <c r="F4" t="s">
        <v>83</v>
      </c>
      <c r="G4">
        <v>0.1</v>
      </c>
      <c r="H4">
        <v>10</v>
      </c>
      <c r="L4" t="s">
        <v>144</v>
      </c>
      <c r="M4">
        <v>0</v>
      </c>
      <c r="N4">
        <v>1</v>
      </c>
      <c r="O4" t="s">
        <v>123</v>
      </c>
      <c r="P4" t="s">
        <v>125</v>
      </c>
      <c r="Q4">
        <v>42240</v>
      </c>
      <c r="R4">
        <v>115</v>
      </c>
      <c r="S4" t="s">
        <v>126</v>
      </c>
      <c r="T4">
        <v>8</v>
      </c>
      <c r="U4" s="3" t="s">
        <v>102</v>
      </c>
    </row>
    <row r="5" spans="1:21" ht="30" x14ac:dyDescent="0.25">
      <c r="B5" t="b">
        <v>1</v>
      </c>
      <c r="C5" t="s">
        <v>42</v>
      </c>
      <c r="D5" t="s">
        <v>55</v>
      </c>
      <c r="E5" t="s">
        <v>22</v>
      </c>
      <c r="F5" t="s">
        <v>84</v>
      </c>
      <c r="G5">
        <v>0.01</v>
      </c>
      <c r="H5">
        <v>10</v>
      </c>
      <c r="I5">
        <v>9.9999999999999995E-8</v>
      </c>
      <c r="J5">
        <v>1E-3</v>
      </c>
      <c r="K5">
        <v>1</v>
      </c>
      <c r="L5" s="5">
        <v>1E-4</v>
      </c>
      <c r="M5">
        <v>0</v>
      </c>
      <c r="U5" s="3" t="s">
        <v>103</v>
      </c>
    </row>
    <row r="6" spans="1:21" ht="30" x14ac:dyDescent="0.25">
      <c r="B6" t="b">
        <v>1</v>
      </c>
      <c r="C6" t="s">
        <v>42</v>
      </c>
      <c r="D6" t="s">
        <v>56</v>
      </c>
      <c r="E6" t="s">
        <v>75</v>
      </c>
      <c r="F6" t="s">
        <v>84</v>
      </c>
      <c r="G6">
        <v>0.01</v>
      </c>
      <c r="H6">
        <v>10</v>
      </c>
      <c r="I6">
        <v>9.9999999999999995E-8</v>
      </c>
      <c r="J6">
        <v>1E-3</v>
      </c>
      <c r="L6" s="5">
        <v>1E-4</v>
      </c>
      <c r="M6">
        <v>0</v>
      </c>
      <c r="N6">
        <v>1</v>
      </c>
      <c r="O6" t="s">
        <v>123</v>
      </c>
      <c r="P6" t="s">
        <v>125</v>
      </c>
      <c r="Q6">
        <v>42240</v>
      </c>
      <c r="R6">
        <v>115</v>
      </c>
      <c r="S6" t="s">
        <v>126</v>
      </c>
      <c r="T6">
        <v>8</v>
      </c>
      <c r="U6" s="3" t="s">
        <v>104</v>
      </c>
    </row>
    <row r="7" spans="1:21" ht="30" x14ac:dyDescent="0.25">
      <c r="B7" t="b">
        <v>1</v>
      </c>
      <c r="C7" t="s">
        <v>43</v>
      </c>
      <c r="D7" t="s">
        <v>57</v>
      </c>
      <c r="E7" t="s">
        <v>22</v>
      </c>
      <c r="F7" t="s">
        <v>85</v>
      </c>
      <c r="G7">
        <v>0.33</v>
      </c>
      <c r="H7">
        <v>1.5</v>
      </c>
      <c r="I7">
        <v>0.01</v>
      </c>
      <c r="J7">
        <v>0.35</v>
      </c>
      <c r="K7">
        <v>1</v>
      </c>
      <c r="L7">
        <v>0.15</v>
      </c>
      <c r="M7">
        <v>0</v>
      </c>
      <c r="U7" s="3" t="s">
        <v>105</v>
      </c>
    </row>
    <row r="8" spans="1:21" ht="30" x14ac:dyDescent="0.25">
      <c r="B8" t="b">
        <v>1</v>
      </c>
      <c r="C8" t="s">
        <v>43</v>
      </c>
      <c r="D8" t="s">
        <v>58</v>
      </c>
      <c r="E8" t="s">
        <v>75</v>
      </c>
      <c r="F8" t="s">
        <v>85</v>
      </c>
      <c r="G8">
        <v>0.33</v>
      </c>
      <c r="H8">
        <v>1.5</v>
      </c>
      <c r="I8">
        <v>0.01</v>
      </c>
      <c r="J8">
        <v>0.35</v>
      </c>
      <c r="L8">
        <v>0.15</v>
      </c>
      <c r="M8">
        <v>0</v>
      </c>
      <c r="N8">
        <v>1</v>
      </c>
      <c r="O8" t="s">
        <v>123</v>
      </c>
      <c r="P8" t="s">
        <v>125</v>
      </c>
      <c r="Q8">
        <v>42240</v>
      </c>
      <c r="R8">
        <v>115</v>
      </c>
      <c r="S8" t="s">
        <v>126</v>
      </c>
      <c r="T8">
        <v>8</v>
      </c>
      <c r="U8" s="3" t="s">
        <v>106</v>
      </c>
    </row>
    <row r="9" spans="1:21" ht="45" x14ac:dyDescent="0.25">
      <c r="A9" s="3" t="s">
        <v>138</v>
      </c>
      <c r="B9" s="4" t="b">
        <v>0</v>
      </c>
      <c r="C9" s="4" t="s">
        <v>44</v>
      </c>
      <c r="D9" t="s">
        <v>59</v>
      </c>
      <c r="E9" t="s">
        <v>76</v>
      </c>
      <c r="F9" t="s">
        <v>86</v>
      </c>
      <c r="I9">
        <v>1E-8</v>
      </c>
      <c r="J9">
        <v>1</v>
      </c>
      <c r="L9">
        <v>0.1</v>
      </c>
      <c r="U9" s="3" t="s">
        <v>107</v>
      </c>
    </row>
    <row r="10" spans="1:21" ht="105" x14ac:dyDescent="0.25">
      <c r="A10" s="3" t="s">
        <v>139</v>
      </c>
      <c r="B10" t="b">
        <v>1</v>
      </c>
      <c r="C10" t="s">
        <v>45</v>
      </c>
      <c r="D10" t="s">
        <v>60</v>
      </c>
      <c r="E10" t="s">
        <v>75</v>
      </c>
      <c r="F10" t="s">
        <v>87</v>
      </c>
      <c r="G10">
        <v>0.1</v>
      </c>
      <c r="H10">
        <v>5</v>
      </c>
      <c r="L10" t="s">
        <v>141</v>
      </c>
      <c r="M10">
        <v>1</v>
      </c>
      <c r="O10" t="s">
        <v>124</v>
      </c>
      <c r="P10" t="s">
        <v>125</v>
      </c>
      <c r="Q10">
        <v>36960</v>
      </c>
      <c r="R10">
        <v>0</v>
      </c>
      <c r="S10" t="s">
        <v>127</v>
      </c>
      <c r="T10">
        <v>24</v>
      </c>
      <c r="U10" s="3" t="s">
        <v>108</v>
      </c>
    </row>
    <row r="11" spans="1:21" ht="30" x14ac:dyDescent="0.25">
      <c r="B11" t="b">
        <v>0</v>
      </c>
      <c r="C11" t="s">
        <v>45</v>
      </c>
      <c r="D11" t="s">
        <v>61</v>
      </c>
      <c r="E11" t="s">
        <v>22</v>
      </c>
      <c r="F11" t="s">
        <v>88</v>
      </c>
      <c r="G11">
        <v>0.1</v>
      </c>
      <c r="H11">
        <v>5</v>
      </c>
      <c r="L11" t="s">
        <v>141</v>
      </c>
      <c r="M11">
        <v>1</v>
      </c>
      <c r="U11" s="3" t="s">
        <v>109</v>
      </c>
    </row>
    <row r="12" spans="1:21" ht="30" x14ac:dyDescent="0.25">
      <c r="B12" t="b">
        <v>1</v>
      </c>
      <c r="C12" t="s">
        <v>46</v>
      </c>
      <c r="D12" t="s">
        <v>62</v>
      </c>
      <c r="E12" t="s">
        <v>77</v>
      </c>
      <c r="F12" t="s">
        <v>89</v>
      </c>
      <c r="G12">
        <v>0.01</v>
      </c>
      <c r="H12">
        <v>100</v>
      </c>
      <c r="I12">
        <v>1E-4</v>
      </c>
      <c r="J12">
        <v>80000</v>
      </c>
      <c r="K12">
        <v>1</v>
      </c>
      <c r="M12">
        <v>1</v>
      </c>
      <c r="U12" s="3" t="s">
        <v>110</v>
      </c>
    </row>
    <row r="13" spans="1:21" ht="30" x14ac:dyDescent="0.25">
      <c r="B13" t="b">
        <v>1</v>
      </c>
      <c r="C13" t="s">
        <v>46</v>
      </c>
      <c r="D13" t="s">
        <v>63</v>
      </c>
      <c r="E13" t="s">
        <v>78</v>
      </c>
      <c r="F13" t="s">
        <v>90</v>
      </c>
      <c r="G13">
        <v>-10</v>
      </c>
      <c r="H13">
        <v>10</v>
      </c>
      <c r="K13">
        <v>0</v>
      </c>
      <c r="M13">
        <v>1</v>
      </c>
      <c r="U13" s="3" t="s">
        <v>111</v>
      </c>
    </row>
    <row r="14" spans="1:21" x14ac:dyDescent="0.25">
      <c r="B14" t="b">
        <v>1</v>
      </c>
      <c r="C14" t="s">
        <v>47</v>
      </c>
      <c r="D14" t="s">
        <v>64</v>
      </c>
      <c r="E14" t="s">
        <v>77</v>
      </c>
      <c r="F14" t="s">
        <v>91</v>
      </c>
      <c r="G14">
        <v>0.01</v>
      </c>
      <c r="H14">
        <v>100</v>
      </c>
      <c r="I14">
        <v>1E-4</v>
      </c>
      <c r="J14">
        <v>100000</v>
      </c>
      <c r="K14">
        <v>1</v>
      </c>
      <c r="M14">
        <v>1</v>
      </c>
      <c r="U14" s="3" t="s">
        <v>112</v>
      </c>
    </row>
    <row r="15" spans="1:21" x14ac:dyDescent="0.25">
      <c r="B15" t="b">
        <v>1</v>
      </c>
      <c r="C15" t="s">
        <v>47</v>
      </c>
      <c r="D15" t="s">
        <v>65</v>
      </c>
      <c r="E15" t="s">
        <v>78</v>
      </c>
      <c r="F15" t="s">
        <v>92</v>
      </c>
      <c r="G15">
        <v>-5</v>
      </c>
      <c r="H15">
        <v>5</v>
      </c>
      <c r="I15">
        <v>9.9999999999999995E-8</v>
      </c>
      <c r="J15">
        <v>100000</v>
      </c>
      <c r="K15">
        <v>1</v>
      </c>
      <c r="M15">
        <v>1</v>
      </c>
      <c r="U15" s="3" t="s">
        <v>113</v>
      </c>
    </row>
    <row r="16" spans="1:21" x14ac:dyDescent="0.25">
      <c r="B16" t="b">
        <v>1</v>
      </c>
      <c r="C16" t="s">
        <v>48</v>
      </c>
      <c r="D16" t="s">
        <v>66</v>
      </c>
      <c r="E16" t="s">
        <v>77</v>
      </c>
      <c r="F16" t="s">
        <v>93</v>
      </c>
      <c r="G16">
        <v>0.01</v>
      </c>
      <c r="H16">
        <v>100</v>
      </c>
      <c r="I16">
        <v>1E-4</v>
      </c>
      <c r="J16">
        <v>100000</v>
      </c>
      <c r="K16">
        <v>1</v>
      </c>
      <c r="M16">
        <v>1</v>
      </c>
      <c r="U16" s="3" t="s">
        <v>114</v>
      </c>
    </row>
    <row r="17" spans="1:21" x14ac:dyDescent="0.25">
      <c r="B17" t="b">
        <v>1</v>
      </c>
      <c r="C17" t="s">
        <v>48</v>
      </c>
      <c r="D17" t="s">
        <v>67</v>
      </c>
      <c r="E17" t="s">
        <v>78</v>
      </c>
      <c r="F17" t="s">
        <v>94</v>
      </c>
      <c r="G17">
        <v>-5</v>
      </c>
      <c r="H17">
        <v>5</v>
      </c>
      <c r="M17">
        <v>1</v>
      </c>
      <c r="U17" s="3" t="s">
        <v>115</v>
      </c>
    </row>
    <row r="18" spans="1:21" ht="45" x14ac:dyDescent="0.25">
      <c r="A18" s="3" t="s">
        <v>142</v>
      </c>
      <c r="B18" t="b">
        <v>0</v>
      </c>
      <c r="C18" t="s">
        <v>49</v>
      </c>
      <c r="D18" t="s">
        <v>68</v>
      </c>
      <c r="E18" t="s">
        <v>77</v>
      </c>
      <c r="F18" t="s">
        <v>95</v>
      </c>
      <c r="G18">
        <v>0.01</v>
      </c>
      <c r="H18">
        <v>100</v>
      </c>
      <c r="I18">
        <v>1E-4</v>
      </c>
      <c r="J18">
        <v>100000</v>
      </c>
      <c r="K18">
        <v>1</v>
      </c>
      <c r="M18">
        <v>1</v>
      </c>
      <c r="U18" s="3" t="s">
        <v>116</v>
      </c>
    </row>
    <row r="19" spans="1:21" ht="45" x14ac:dyDescent="0.25">
      <c r="A19" s="3" t="s">
        <v>142</v>
      </c>
      <c r="B19" t="b">
        <v>0</v>
      </c>
      <c r="C19" t="s">
        <v>49</v>
      </c>
      <c r="D19" t="s">
        <v>69</v>
      </c>
      <c r="E19" t="s">
        <v>78</v>
      </c>
      <c r="F19" t="s">
        <v>96</v>
      </c>
      <c r="G19">
        <v>-10</v>
      </c>
      <c r="H19">
        <v>20</v>
      </c>
      <c r="M19">
        <v>1</v>
      </c>
      <c r="U19" s="3" t="s">
        <v>117</v>
      </c>
    </row>
    <row r="20" spans="1:21" ht="30" x14ac:dyDescent="0.25">
      <c r="B20" t="b">
        <v>0</v>
      </c>
      <c r="C20" t="s">
        <v>50</v>
      </c>
      <c r="D20" t="s">
        <v>70</v>
      </c>
      <c r="E20" t="s">
        <v>77</v>
      </c>
      <c r="F20" t="s">
        <v>97</v>
      </c>
      <c r="G20">
        <v>0.8</v>
      </c>
      <c r="H20">
        <v>1.2</v>
      </c>
      <c r="K20">
        <v>1</v>
      </c>
      <c r="M20">
        <v>1</v>
      </c>
      <c r="U20" s="3" t="s">
        <v>118</v>
      </c>
    </row>
    <row r="21" spans="1:21" ht="30" x14ac:dyDescent="0.25">
      <c r="B21" t="b">
        <v>1</v>
      </c>
      <c r="C21" t="s">
        <v>50</v>
      </c>
      <c r="D21" t="s">
        <v>71</v>
      </c>
      <c r="E21" t="s">
        <v>79</v>
      </c>
      <c r="F21" t="s">
        <v>97</v>
      </c>
      <c r="G21">
        <v>0.8</v>
      </c>
      <c r="H21">
        <v>1.2</v>
      </c>
      <c r="K21">
        <v>1</v>
      </c>
      <c r="M21">
        <v>1</v>
      </c>
      <c r="N21">
        <v>1</v>
      </c>
      <c r="U21" s="3" t="s">
        <v>119</v>
      </c>
    </row>
    <row r="22" spans="1:21" ht="30" x14ac:dyDescent="0.25">
      <c r="B22" t="b">
        <v>1</v>
      </c>
      <c r="C22" t="s">
        <v>50</v>
      </c>
      <c r="D22" t="s">
        <v>72</v>
      </c>
      <c r="E22" t="s">
        <v>80</v>
      </c>
      <c r="F22" t="s">
        <v>97</v>
      </c>
      <c r="G22">
        <v>0.8</v>
      </c>
      <c r="H22">
        <v>1.2</v>
      </c>
      <c r="K22">
        <v>1</v>
      </c>
      <c r="M22">
        <v>1</v>
      </c>
      <c r="N22">
        <v>1</v>
      </c>
      <c r="U22" s="3" t="s">
        <v>120</v>
      </c>
    </row>
    <row r="23" spans="1:21" ht="30" x14ac:dyDescent="0.25">
      <c r="A23" s="3" t="s">
        <v>145</v>
      </c>
      <c r="B23" t="b">
        <v>1</v>
      </c>
      <c r="C23" t="s">
        <v>51</v>
      </c>
      <c r="D23" t="s">
        <v>73</v>
      </c>
      <c r="E23" t="s">
        <v>78</v>
      </c>
      <c r="F23" t="s">
        <v>98</v>
      </c>
      <c r="G23">
        <v>-10</v>
      </c>
      <c r="H23">
        <v>10</v>
      </c>
      <c r="K23">
        <v>0</v>
      </c>
      <c r="M23">
        <v>1</v>
      </c>
      <c r="U23" s="3" t="s">
        <v>121</v>
      </c>
    </row>
    <row r="24" spans="1:21" ht="30" x14ac:dyDescent="0.25">
      <c r="A24" s="3" t="s">
        <v>145</v>
      </c>
      <c r="B24" t="b">
        <v>1</v>
      </c>
      <c r="C24" t="s">
        <v>51</v>
      </c>
      <c r="D24" t="s">
        <v>74</v>
      </c>
      <c r="E24" t="s">
        <v>77</v>
      </c>
      <c r="F24" t="s">
        <v>99</v>
      </c>
      <c r="G24">
        <v>0.01</v>
      </c>
      <c r="H24">
        <v>300</v>
      </c>
      <c r="K24">
        <v>1</v>
      </c>
      <c r="M24">
        <v>1</v>
      </c>
      <c r="U24" s="3" t="s">
        <v>122</v>
      </c>
    </row>
  </sheetData>
  <conditionalFormatting sqref="B1:B1048576">
    <cfRule type="containsText" dxfId="0" priority="1" operator="containsText" text="FALSE">
      <formula>NOT(ISERROR(SEARCH("FALSE",B1)))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A4" sqref="A4"/>
    </sheetView>
  </sheetViews>
  <sheetFormatPr defaultRowHeight="15" x14ac:dyDescent="0.25"/>
  <cols>
    <col min="1" max="2" width="17" customWidth="1"/>
    <col min="3" max="3" width="15.7109375" customWidth="1"/>
  </cols>
  <sheetData>
    <row r="1" spans="1:4" x14ac:dyDescent="0.25">
      <c r="A1" s="1" t="s">
        <v>128</v>
      </c>
      <c r="B1" s="1" t="s">
        <v>129</v>
      </c>
      <c r="C1" s="1" t="s">
        <v>130</v>
      </c>
      <c r="D1" s="1" t="s">
        <v>131</v>
      </c>
    </row>
    <row r="2" spans="1:4" x14ac:dyDescent="0.25">
      <c r="A2" t="s">
        <v>132</v>
      </c>
      <c r="B2">
        <v>0.1</v>
      </c>
      <c r="C2">
        <v>0.1</v>
      </c>
      <c r="D2">
        <v>10</v>
      </c>
    </row>
    <row r="3" spans="1:4" x14ac:dyDescent="0.25">
      <c r="A3" t="s">
        <v>133</v>
      </c>
      <c r="B3">
        <v>0.35</v>
      </c>
      <c r="C3">
        <v>0.35</v>
      </c>
      <c r="D3">
        <v>35</v>
      </c>
    </row>
    <row r="4" spans="1:4" x14ac:dyDescent="0.25">
      <c r="A4" t="s">
        <v>134</v>
      </c>
      <c r="B4">
        <v>0.3</v>
      </c>
      <c r="C4">
        <v>0.3</v>
      </c>
      <c r="D4">
        <v>30</v>
      </c>
    </row>
    <row r="5" spans="1:4" x14ac:dyDescent="0.25">
      <c r="A5" t="s">
        <v>135</v>
      </c>
      <c r="B5">
        <v>0.25</v>
      </c>
      <c r="C5">
        <v>0.25</v>
      </c>
      <c r="D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parm_controls</vt:lpstr>
      <vt:lpstr>parameter_summary</vt:lpstr>
      <vt:lpstr>phi_factors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Beck</dc:creator>
  <cp:lastModifiedBy>Melanie Beck</cp:lastModifiedBy>
  <dcterms:created xsi:type="dcterms:W3CDTF">2025-11-28T19:05:30Z</dcterms:created>
  <dcterms:modified xsi:type="dcterms:W3CDTF">2025-12-03T18:25:56Z</dcterms:modified>
</cp:coreProperties>
</file>