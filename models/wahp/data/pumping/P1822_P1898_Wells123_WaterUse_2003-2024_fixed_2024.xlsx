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rainc.sharepoint.com/sites/NorthDakotaDWRGWModeling/Shared Documents/Groundwater Model/NDDWR Data Sharing/water_use_from_NDDWR/WahpetonBV/WahpetonBV/Water use/"/>
    </mc:Choice>
  </mc:AlternateContent>
  <xr:revisionPtr revIDLastSave="0" documentId="8_{940CE1BB-26C3-4940-AEFB-BAA3D2C1FB5D}" xr6:coauthVersionLast="47" xr6:coauthVersionMax="47" xr10:uidLastSave="{00000000-0000-0000-0000-000000000000}"/>
  <bookViews>
    <workbookView xWindow="-120" yWindow="-120" windowWidth="29040" windowHeight="15720" firstSheet="5" activeTab="21" xr2:uid="{2BC68A5A-ED8E-449B-BAD2-CF0BFB836FB7}"/>
  </bookViews>
  <sheets>
    <sheet name="2003" sheetId="2" r:id="rId1"/>
    <sheet name="2004" sheetId="3" r:id="rId2"/>
    <sheet name="2005" sheetId="4" r:id="rId3"/>
    <sheet name="2006" sheetId="5" r:id="rId4"/>
    <sheet name="2007" sheetId="6" r:id="rId5"/>
    <sheet name="2008" sheetId="7" r:id="rId6"/>
    <sheet name="2009" sheetId="8" r:id="rId7"/>
    <sheet name="2010" sheetId="9" r:id="rId8"/>
    <sheet name="2011" sheetId="10" r:id="rId9"/>
    <sheet name="2012" sheetId="11" r:id="rId10"/>
    <sheet name="2013" sheetId="12" r:id="rId11"/>
    <sheet name="2014" sheetId="13" r:id="rId12"/>
    <sheet name="2015" sheetId="14" r:id="rId13"/>
    <sheet name="2016" sheetId="15" r:id="rId14"/>
    <sheet name="2017" sheetId="16" r:id="rId15"/>
    <sheet name="2018" sheetId="17" r:id="rId16"/>
    <sheet name="2019" sheetId="18" r:id="rId17"/>
    <sheet name="2020" sheetId="19" r:id="rId18"/>
    <sheet name="2021" sheetId="20" r:id="rId19"/>
    <sheet name="2022" sheetId="21" r:id="rId20"/>
    <sheet name="2023" sheetId="22" r:id="rId21"/>
    <sheet name="2024" sheetId="23" r:id="rId22"/>
  </sheets>
  <definedNames>
    <definedName name="_xlnm.Print_Area" localSheetId="2">'2005'!$A$2:$G$25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3" l="1"/>
  <c r="D22" i="9"/>
  <c r="G20" i="9"/>
  <c r="D20" i="9"/>
  <c r="C20" i="9"/>
  <c r="D23" i="9" s="1"/>
  <c r="B20" i="9"/>
  <c r="F18" i="9"/>
  <c r="E18" i="9"/>
  <c r="F17" i="9"/>
  <c r="E17" i="9"/>
  <c r="F16" i="9"/>
  <c r="E16" i="9"/>
  <c r="F15" i="9"/>
  <c r="E15" i="9"/>
  <c r="F14" i="9"/>
  <c r="E14" i="9"/>
  <c r="F13" i="9"/>
  <c r="E13" i="9"/>
  <c r="F12" i="9"/>
  <c r="E12" i="9"/>
  <c r="F11" i="9"/>
  <c r="E11" i="9"/>
  <c r="F10" i="9"/>
  <c r="E10" i="9"/>
  <c r="F9" i="9"/>
  <c r="E9" i="9"/>
  <c r="F8" i="9"/>
  <c r="E8" i="9"/>
  <c r="E20" i="9" s="1"/>
  <c r="F7" i="9"/>
  <c r="F20" i="9" s="1"/>
  <c r="E7" i="9"/>
  <c r="G20" i="23"/>
  <c r="D20" i="23"/>
  <c r="C20" i="23"/>
  <c r="D23" i="23" s="1"/>
  <c r="B20" i="23"/>
  <c r="D22" i="23" s="1"/>
  <c r="F18" i="23"/>
  <c r="E18" i="23"/>
  <c r="F17" i="23"/>
  <c r="E17" i="23"/>
  <c r="F16" i="23"/>
  <c r="E16" i="23"/>
  <c r="F15" i="23"/>
  <c r="E15" i="23"/>
  <c r="F14" i="23"/>
  <c r="E14" i="23"/>
  <c r="F13" i="23"/>
  <c r="E13" i="23"/>
  <c r="F12" i="23"/>
  <c r="E12" i="23"/>
  <c r="F11" i="23"/>
  <c r="E11" i="23"/>
  <c r="F10" i="23"/>
  <c r="E10" i="23"/>
  <c r="E9" i="23"/>
  <c r="F8" i="23"/>
  <c r="E8" i="23"/>
  <c r="F7" i="23"/>
  <c r="E7" i="23"/>
  <c r="E20" i="23" s="1"/>
  <c r="G20" i="22"/>
  <c r="D20" i="22"/>
  <c r="C20" i="22"/>
  <c r="D23" i="22"/>
  <c r="B20" i="22"/>
  <c r="D22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F10" i="22"/>
  <c r="E10" i="22"/>
  <c r="F9" i="22"/>
  <c r="E9" i="22"/>
  <c r="F8" i="22"/>
  <c r="E8" i="22"/>
  <c r="F7" i="22"/>
  <c r="F20" i="22"/>
  <c r="E7" i="22"/>
  <c r="E20" i="22"/>
  <c r="D23" i="21"/>
  <c r="G20" i="21"/>
  <c r="D20" i="21"/>
  <c r="C20" i="21"/>
  <c r="B20" i="21"/>
  <c r="D22" i="21"/>
  <c r="F18" i="21"/>
  <c r="E18" i="21"/>
  <c r="F17" i="21"/>
  <c r="E17" i="21"/>
  <c r="F16" i="21"/>
  <c r="E16" i="21"/>
  <c r="F15" i="21"/>
  <c r="E15" i="21"/>
  <c r="F14" i="21"/>
  <c r="E14" i="21"/>
  <c r="F13" i="21"/>
  <c r="E13" i="21"/>
  <c r="F12" i="21"/>
  <c r="E12" i="21"/>
  <c r="F11" i="21"/>
  <c r="E11" i="21"/>
  <c r="F10" i="21"/>
  <c r="E10" i="21"/>
  <c r="F9" i="21"/>
  <c r="E9" i="21"/>
  <c r="F8" i="21"/>
  <c r="E8" i="21"/>
  <c r="F7" i="21"/>
  <c r="F20" i="21"/>
  <c r="E7" i="21"/>
  <c r="E20" i="21"/>
  <c r="G20" i="20"/>
  <c r="D20" i="20"/>
  <c r="C20" i="20"/>
  <c r="D23" i="20"/>
  <c r="B20" i="20"/>
  <c r="D22" i="20"/>
  <c r="F18" i="20"/>
  <c r="E18" i="20"/>
  <c r="F17" i="20"/>
  <c r="E17" i="20"/>
  <c r="F16" i="20"/>
  <c r="E16" i="20"/>
  <c r="F15" i="20"/>
  <c r="E15" i="20"/>
  <c r="F14" i="20"/>
  <c r="E14" i="20"/>
  <c r="F13" i="20"/>
  <c r="E13" i="20"/>
  <c r="F12" i="20"/>
  <c r="E12" i="20"/>
  <c r="F11" i="20"/>
  <c r="E11" i="20"/>
  <c r="F10" i="20"/>
  <c r="E10" i="20"/>
  <c r="F9" i="20"/>
  <c r="E9" i="20"/>
  <c r="F8" i="20"/>
  <c r="E8" i="20"/>
  <c r="F7" i="20"/>
  <c r="F20" i="20"/>
  <c r="E7" i="20"/>
  <c r="E20" i="20"/>
  <c r="G20" i="19"/>
  <c r="D20" i="19"/>
  <c r="C20" i="19"/>
  <c r="D23" i="19"/>
  <c r="B20" i="19"/>
  <c r="D22" i="19"/>
  <c r="F18" i="19"/>
  <c r="E18" i="19"/>
  <c r="F17" i="19"/>
  <c r="E17" i="19"/>
  <c r="F16" i="19"/>
  <c r="E16" i="19"/>
  <c r="F15" i="19"/>
  <c r="E15" i="19"/>
  <c r="F14" i="19"/>
  <c r="E14" i="19"/>
  <c r="F13" i="19"/>
  <c r="E13" i="19"/>
  <c r="F12" i="19"/>
  <c r="E12" i="19"/>
  <c r="F11" i="19"/>
  <c r="E11" i="19"/>
  <c r="F10" i="19"/>
  <c r="E10" i="19"/>
  <c r="F9" i="19"/>
  <c r="E9" i="19"/>
  <c r="F8" i="19"/>
  <c r="E8" i="19"/>
  <c r="F7" i="19"/>
  <c r="F20" i="19"/>
  <c r="E7" i="19"/>
  <c r="E20" i="19"/>
  <c r="G20" i="18"/>
  <c r="D20" i="18"/>
  <c r="C20" i="18"/>
  <c r="D23" i="18"/>
  <c r="B20" i="18"/>
  <c r="D22" i="18"/>
  <c r="F18" i="18"/>
  <c r="E18" i="18"/>
  <c r="F17" i="18"/>
  <c r="E17" i="18"/>
  <c r="F16" i="18"/>
  <c r="E16" i="18"/>
  <c r="F15" i="18"/>
  <c r="E15" i="18"/>
  <c r="F14" i="18"/>
  <c r="E14" i="18"/>
  <c r="F13" i="18"/>
  <c r="E13" i="18"/>
  <c r="F12" i="18"/>
  <c r="E12" i="18"/>
  <c r="F11" i="18"/>
  <c r="E11" i="18"/>
  <c r="F10" i="18"/>
  <c r="E10" i="18"/>
  <c r="F9" i="18"/>
  <c r="E9" i="18"/>
  <c r="F8" i="18"/>
  <c r="E8" i="18"/>
  <c r="F7" i="18"/>
  <c r="F20" i="18"/>
  <c r="E7" i="18"/>
  <c r="E20" i="18"/>
  <c r="G20" i="17"/>
  <c r="D20" i="17"/>
  <c r="C20" i="17"/>
  <c r="D23" i="17"/>
  <c r="B20" i="17"/>
  <c r="D22" i="17"/>
  <c r="F18" i="17"/>
  <c r="E18" i="17"/>
  <c r="F17" i="17"/>
  <c r="E17" i="17"/>
  <c r="F16" i="17"/>
  <c r="E16" i="17"/>
  <c r="F15" i="17"/>
  <c r="E15" i="17"/>
  <c r="F14" i="17"/>
  <c r="E14" i="17"/>
  <c r="F13" i="17"/>
  <c r="E13" i="17"/>
  <c r="F12" i="17"/>
  <c r="E12" i="17"/>
  <c r="F11" i="17"/>
  <c r="E11" i="17"/>
  <c r="F10" i="17"/>
  <c r="E10" i="17"/>
  <c r="F9" i="17"/>
  <c r="E9" i="17"/>
  <c r="F8" i="17"/>
  <c r="E8" i="17"/>
  <c r="F7" i="17"/>
  <c r="F20" i="17"/>
  <c r="E7" i="17"/>
  <c r="E20" i="17"/>
  <c r="D23" i="16"/>
  <c r="D22" i="16"/>
  <c r="G20" i="16"/>
  <c r="D20" i="16"/>
  <c r="C20" i="16"/>
  <c r="B20" i="16"/>
  <c r="F18" i="16"/>
  <c r="E18" i="16"/>
  <c r="F17" i="16"/>
  <c r="E17" i="16"/>
  <c r="F16" i="16"/>
  <c r="E16" i="16"/>
  <c r="F15" i="16"/>
  <c r="E15" i="16"/>
  <c r="F14" i="16"/>
  <c r="E14" i="16"/>
  <c r="F13" i="16"/>
  <c r="E13" i="16"/>
  <c r="F12" i="16"/>
  <c r="E12" i="16"/>
  <c r="F11" i="16"/>
  <c r="E11" i="16"/>
  <c r="F10" i="16"/>
  <c r="E10" i="16"/>
  <c r="F9" i="16"/>
  <c r="E9" i="16"/>
  <c r="F8" i="16"/>
  <c r="E8" i="16"/>
  <c r="F7" i="16"/>
  <c r="F20" i="16"/>
  <c r="E7" i="16"/>
  <c r="E20" i="16"/>
  <c r="G20" i="15"/>
  <c r="D20" i="15"/>
  <c r="C20" i="15"/>
  <c r="D23" i="15"/>
  <c r="B20" i="15"/>
  <c r="D22" i="15"/>
  <c r="F18" i="15"/>
  <c r="E18" i="15"/>
  <c r="F17" i="15"/>
  <c r="E17" i="15"/>
  <c r="F16" i="15"/>
  <c r="E16" i="15"/>
  <c r="F15" i="15"/>
  <c r="E15" i="15"/>
  <c r="F14" i="15"/>
  <c r="E14" i="15"/>
  <c r="F13" i="15"/>
  <c r="E13" i="15"/>
  <c r="F12" i="15"/>
  <c r="E12" i="15"/>
  <c r="F11" i="15"/>
  <c r="E11" i="15"/>
  <c r="F10" i="15"/>
  <c r="E10" i="15"/>
  <c r="F9" i="15"/>
  <c r="E9" i="15"/>
  <c r="F8" i="15"/>
  <c r="E8" i="15"/>
  <c r="F7" i="15"/>
  <c r="F20" i="15"/>
  <c r="E7" i="15"/>
  <c r="E20" i="15"/>
  <c r="G20" i="14"/>
  <c r="D20" i="14"/>
  <c r="C20" i="14"/>
  <c r="D23" i="14"/>
  <c r="B20" i="14"/>
  <c r="D22" i="14"/>
  <c r="F18" i="14"/>
  <c r="E18" i="14"/>
  <c r="F17" i="14"/>
  <c r="E17" i="14"/>
  <c r="F16" i="14"/>
  <c r="E16" i="14"/>
  <c r="F15" i="14"/>
  <c r="E15" i="14"/>
  <c r="F14" i="14"/>
  <c r="E14" i="14"/>
  <c r="F13" i="14"/>
  <c r="E13" i="14"/>
  <c r="F12" i="14"/>
  <c r="E12" i="14"/>
  <c r="F11" i="14"/>
  <c r="E11" i="14"/>
  <c r="F10" i="14"/>
  <c r="E10" i="14"/>
  <c r="F9" i="14"/>
  <c r="E9" i="14"/>
  <c r="F8" i="14"/>
  <c r="E8" i="14"/>
  <c r="F7" i="14"/>
  <c r="F20" i="14"/>
  <c r="E7" i="14"/>
  <c r="E20" i="14"/>
  <c r="G20" i="13"/>
  <c r="D20" i="13"/>
  <c r="C20" i="13"/>
  <c r="D23" i="13"/>
  <c r="B20" i="13"/>
  <c r="D22" i="13"/>
  <c r="F18" i="13"/>
  <c r="E18" i="13"/>
  <c r="F17" i="13"/>
  <c r="E17" i="13"/>
  <c r="F16" i="13"/>
  <c r="E16" i="13"/>
  <c r="F15" i="13"/>
  <c r="E15" i="13"/>
  <c r="F14" i="13"/>
  <c r="E14" i="13"/>
  <c r="F13" i="13"/>
  <c r="E13" i="13"/>
  <c r="F12" i="13"/>
  <c r="E12" i="13"/>
  <c r="F11" i="13"/>
  <c r="E11" i="13"/>
  <c r="F10" i="13"/>
  <c r="E10" i="13"/>
  <c r="F9" i="13"/>
  <c r="E9" i="13"/>
  <c r="F8" i="13"/>
  <c r="E8" i="13"/>
  <c r="F7" i="13"/>
  <c r="F20" i="13"/>
  <c r="E7" i="13"/>
  <c r="E20" i="13"/>
  <c r="D23" i="12"/>
  <c r="G20" i="12"/>
  <c r="D20" i="12"/>
  <c r="C20" i="12"/>
  <c r="B20" i="12"/>
  <c r="D22" i="12"/>
  <c r="F18" i="12"/>
  <c r="E18" i="12"/>
  <c r="F17" i="12"/>
  <c r="E17" i="12"/>
  <c r="F16" i="12"/>
  <c r="E16" i="12"/>
  <c r="F15" i="12"/>
  <c r="E15" i="12"/>
  <c r="F14" i="12"/>
  <c r="E14" i="12"/>
  <c r="F13" i="12"/>
  <c r="E13" i="12"/>
  <c r="F12" i="12"/>
  <c r="E12" i="12"/>
  <c r="F11" i="12"/>
  <c r="E11" i="12"/>
  <c r="F10" i="12"/>
  <c r="E10" i="12"/>
  <c r="F9" i="12"/>
  <c r="E9" i="12"/>
  <c r="F8" i="12"/>
  <c r="E8" i="12"/>
  <c r="F7" i="12"/>
  <c r="F20" i="12"/>
  <c r="E7" i="12"/>
  <c r="E20" i="12"/>
  <c r="D23" i="11"/>
  <c r="D22" i="11"/>
  <c r="G20" i="11"/>
  <c r="F20" i="11"/>
  <c r="D20" i="11"/>
  <c r="C20" i="11"/>
  <c r="B20" i="11"/>
  <c r="F18" i="11"/>
  <c r="E18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E20" i="11"/>
  <c r="D23" i="10"/>
  <c r="G20" i="10"/>
  <c r="E20" i="10"/>
  <c r="D20" i="10"/>
  <c r="C20" i="10"/>
  <c r="B20" i="10"/>
  <c r="D22" i="10"/>
  <c r="F18" i="10"/>
  <c r="E18" i="10"/>
  <c r="F17" i="10"/>
  <c r="E17" i="10"/>
  <c r="F16" i="10"/>
  <c r="E16" i="10"/>
  <c r="F15" i="10"/>
  <c r="E15" i="10"/>
  <c r="F14" i="10"/>
  <c r="E14" i="10"/>
  <c r="F13" i="10"/>
  <c r="E13" i="10"/>
  <c r="F12" i="10"/>
  <c r="E12" i="10"/>
  <c r="F11" i="10"/>
  <c r="E11" i="10"/>
  <c r="F10" i="10"/>
  <c r="E10" i="10"/>
  <c r="F9" i="10"/>
  <c r="E9" i="10"/>
  <c r="F8" i="10"/>
  <c r="F20" i="10"/>
  <c r="E8" i="10"/>
  <c r="F7" i="10"/>
  <c r="E7" i="10"/>
  <c r="G20" i="8"/>
  <c r="D20" i="8"/>
  <c r="C20" i="8"/>
  <c r="D23" i="8"/>
  <c r="B20" i="8"/>
  <c r="D22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F20" i="8"/>
  <c r="E7" i="8"/>
  <c r="E20" i="8"/>
  <c r="G20" i="7"/>
  <c r="D20" i="7"/>
  <c r="C20" i="7"/>
  <c r="D23" i="7"/>
  <c r="B20" i="7"/>
  <c r="D22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F20" i="7"/>
  <c r="E7" i="7"/>
  <c r="E20" i="7"/>
  <c r="D22" i="6"/>
  <c r="F20" i="6"/>
  <c r="D20" i="6"/>
  <c r="D23" i="6"/>
  <c r="C20" i="6"/>
  <c r="B20" i="6"/>
  <c r="E18" i="6"/>
  <c r="E17" i="6"/>
  <c r="E16" i="6"/>
  <c r="E15" i="6"/>
  <c r="E14" i="6"/>
  <c r="E13" i="6"/>
  <c r="E12" i="6"/>
  <c r="E11" i="6"/>
  <c r="E10" i="6"/>
  <c r="E9" i="6"/>
  <c r="E20" i="6"/>
  <c r="E8" i="6"/>
  <c r="E7" i="6"/>
  <c r="F20" i="5"/>
  <c r="D20" i="5"/>
  <c r="C20" i="5"/>
  <c r="D23" i="5"/>
  <c r="B20" i="5"/>
  <c r="D22" i="5"/>
  <c r="E18" i="5"/>
  <c r="E17" i="5"/>
  <c r="E16" i="5"/>
  <c r="E15" i="5"/>
  <c r="E14" i="5"/>
  <c r="E13" i="5"/>
  <c r="E12" i="5"/>
  <c r="E11" i="5"/>
  <c r="E10" i="5"/>
  <c r="E9" i="5"/>
  <c r="E8" i="5"/>
  <c r="E7" i="5"/>
  <c r="E20" i="5"/>
  <c r="F21" i="4"/>
  <c r="D21" i="4"/>
  <c r="C21" i="4"/>
  <c r="D24" i="4"/>
  <c r="B21" i="4"/>
  <c r="D23" i="4"/>
  <c r="E19" i="4"/>
  <c r="E18" i="4"/>
  <c r="E17" i="4"/>
  <c r="E16" i="4"/>
  <c r="E15" i="4"/>
  <c r="E14" i="4"/>
  <c r="E13" i="4"/>
  <c r="E12" i="4"/>
  <c r="E11" i="4"/>
  <c r="E10" i="4"/>
  <c r="E9" i="4"/>
  <c r="E8" i="4"/>
  <c r="E21" i="4"/>
  <c r="F20" i="3"/>
  <c r="D20" i="3"/>
  <c r="D23" i="3"/>
  <c r="C20" i="3"/>
  <c r="B20" i="3"/>
  <c r="D22" i="3"/>
  <c r="E18" i="3"/>
  <c r="E17" i="3"/>
  <c r="E16" i="3"/>
  <c r="E15" i="3"/>
  <c r="E14" i="3"/>
  <c r="E13" i="3"/>
  <c r="E12" i="3"/>
  <c r="E11" i="3"/>
  <c r="E10" i="3"/>
  <c r="E9" i="3"/>
  <c r="E20" i="3"/>
  <c r="E8" i="3"/>
  <c r="E7" i="3"/>
  <c r="D23" i="2"/>
  <c r="D22" i="2"/>
  <c r="F20" i="2"/>
  <c r="D20" i="2"/>
  <c r="C20" i="2"/>
  <c r="B20" i="2"/>
  <c r="E18" i="2"/>
  <c r="E17" i="2"/>
  <c r="E16" i="2"/>
  <c r="E15" i="2"/>
  <c r="E14" i="2"/>
  <c r="E13" i="2"/>
  <c r="E12" i="2"/>
  <c r="E11" i="2"/>
  <c r="E10" i="2"/>
  <c r="E20" i="2"/>
  <c r="E9" i="2"/>
  <c r="E8" i="2"/>
  <c r="E7" i="2"/>
  <c r="F20" i="23" l="1"/>
</calcChain>
</file>

<file path=xl/sharedStrings.xml><?xml version="1.0" encoding="utf-8"?>
<sst xmlns="http://schemas.openxmlformats.org/spreadsheetml/2006/main" count="778" uniqueCount="52">
  <si>
    <t>TOTALS</t>
  </si>
  <si>
    <t>CITY OF WAHPETON</t>
  </si>
  <si>
    <t>DATE</t>
  </si>
  <si>
    <t>YEAR 2003</t>
  </si>
  <si>
    <t>ANNUAL WATER USE IN GALLONS</t>
  </si>
  <si>
    <t>PERMIT</t>
  </si>
  <si>
    <t># 1822</t>
  </si>
  <si>
    <t>WELL #2</t>
  </si>
  <si>
    <t>#1898</t>
  </si>
  <si>
    <t>WELL #1</t>
  </si>
  <si>
    <t>WELL#3</t>
  </si>
  <si>
    <t>TOTAL</t>
  </si>
  <si>
    <t>PUMPED</t>
  </si>
  <si>
    <t>GALLONS</t>
  </si>
  <si>
    <t>TREATED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</si>
  <si>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</si>
  <si>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</si>
  <si>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</si>
  <si>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</si>
  <si>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</si>
  <si>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</si>
  <si>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</si>
  <si>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</si>
  <si>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</si>
  <si>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</si>
  <si>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</si>
  <si>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</si>
  <si>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USE PERMIT #1898</t>
  </si>
  <si>
    <t>TOTAL USE PERMIT #1822</t>
  </si>
  <si>
    <t>YEAR 2004</t>
  </si>
  <si>
    <t>YEAR 2005</t>
  </si>
  <si>
    <t>YEAR 2006</t>
  </si>
  <si>
    <t>YEAR 2007</t>
  </si>
  <si>
    <t>PERMIT #1898</t>
  </si>
  <si>
    <t>Well #1+#3</t>
  </si>
  <si>
    <t>YEAR 2008</t>
  </si>
  <si>
    <t>YEAR 2009</t>
  </si>
  <si>
    <t>YEAR 2010</t>
  </si>
  <si>
    <t>YEAR 2011</t>
  </si>
  <si>
    <t>YEAR 2012</t>
  </si>
  <si>
    <t>YEAR 2013</t>
  </si>
  <si>
    <t>YEAR 2014</t>
  </si>
  <si>
    <t>YEAR 2015</t>
  </si>
  <si>
    <t>YEAR 2016</t>
  </si>
  <si>
    <t>YEAR 2017</t>
  </si>
  <si>
    <t>YEAR 2018</t>
  </si>
  <si>
    <t>YEAR 2019</t>
  </si>
  <si>
    <t>YEAR 2020</t>
  </si>
  <si>
    <t>YEAR 2021</t>
  </si>
  <si>
    <t>YEAR 2022</t>
  </si>
  <si>
    <t>YEAR 2023</t>
  </si>
  <si>
    <t>YEAR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</si>
</sst>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0"/>
      <name val="Arial"/>
    </font>
    <font>
      <b/>
      <sz val="10"/>
      <name val="Arial"/>
    </font>
    <font>
      <b/>
      <sz val="11"/>
      <name val="Arial"/>
    </font>
    <font>
      <b/>
      <sz val="10"/>
      <name val="Arial"/>
    </font>
    <font>
      <b/>
      <i/>
      <sz val="9"/>
      <name val="Arial"/>
    </font>
    <font>
      <b/>
      <sz val="11"/>
      <color indexed="9"/>
      <name val="Arial"/>
    </font>
    <font>
      <sz val="9"/>
      <color indexed="9"/>
      <name val="Arial"/>
    </font>
    <font>
      <b/>
      <sz val="9"/>
      <color indexed="9"/>
      <name val="Arial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2" xfId="0" applyNumberFormat="1" applyBorder="1"/>
    <xf numFmtId="0" fontId="3" fillId="0" borderId="1" xfId="0" applyFont="1" applyBorder="1" applyAlignment="1">
      <alignment horizontal="left"/>
    </xf>
    <xf numFmtId="44" fontId="0" fillId="0" borderId="0" xfId="0" applyNumberFormat="1"/>
    <xf numFmtId="43" fontId="0" fillId="0" borderId="0" xfId="0" applyNumberFormat="1"/>
    <xf numFmtId="44" fontId="0" fillId="0" borderId="3" xfId="0" applyNumberFormat="1" applyBorder="1"/>
    <xf numFmtId="0" fontId="4" fillId="0" borderId="0" xfId="0" applyFont="1" applyAlignment="1">
      <alignment horizontal="right"/>
    </xf>
    <xf numFmtId="0" fontId="4" fillId="0" borderId="4" xfId="0" applyFont="1" applyBorder="1" applyAlignment="1">
      <alignment horizontal="right"/>
    </xf>
    <xf numFmtId="0" fontId="0" fillId="0" borderId="2" xfId="0" applyBorder="1"/>
    <xf numFmtId="0" fontId="5" fillId="2" borderId="5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right"/>
    </xf>
    <xf numFmtId="0" fontId="7" fillId="2" borderId="5" xfId="0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2" fontId="0" fillId="0" borderId="1" xfId="0" applyNumberFormat="1" applyBorder="1"/>
    <xf numFmtId="0" fontId="1" fillId="0" borderId="5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7EEF-63E9-4692-A0E1-169C2FA2D473}">
  <dimension ref="A1:H26"/>
  <sheetViews>
    <sheetView workbookViewId="0">
      <selection sqref="A1:H26"/>
    </sheetView>
  </sheetViews>
  <sheetFormatPr defaultRowHeight="12.75" x14ac:dyDescent="0.2"/>
  <cols>
    <col min="1" max="1" width="27.85546875" customWidth="1"/>
    <col min="2" max="4" width="13.28515625" customWidth="1"/>
    <col min="5" max="5" width="14.7109375" customWidth="1"/>
    <col min="6" max="6" width="14.42578125" customWidth="1"/>
    <col min="7" max="7" width="17.85546875" customWidth="1"/>
  </cols>
  <sheetData>
    <row r="1" spans="1:8" ht="15" x14ac:dyDescent="0.25">
      <c r="A1" s="21" t="s">
        <v>4</v>
      </c>
      <c r="B1" s="22"/>
      <c r="C1" s="22"/>
      <c r="D1" s="22"/>
      <c r="E1" s="22"/>
      <c r="F1" s="22"/>
      <c r="G1" s="22"/>
      <c r="H1" s="8"/>
    </row>
    <row r="2" spans="1:8" ht="15" x14ac:dyDescent="0.25">
      <c r="A2" s="23" t="s">
        <v>3</v>
      </c>
      <c r="B2" s="24"/>
      <c r="C2" s="24"/>
      <c r="D2" s="24"/>
      <c r="E2" s="24"/>
      <c r="F2" s="24"/>
      <c r="G2" s="24"/>
      <c r="H2" s="8"/>
    </row>
    <row r="3" spans="1:8" ht="15" x14ac:dyDescent="0.25">
      <c r="A3" s="14"/>
      <c r="B3" s="19" t="s">
        <v>5</v>
      </c>
      <c r="C3" s="19" t="s">
        <v>5</v>
      </c>
      <c r="D3" s="19" t="s">
        <v>5</v>
      </c>
      <c r="E3" s="19" t="s">
        <v>11</v>
      </c>
      <c r="F3" s="19" t="s">
        <v>14</v>
      </c>
      <c r="G3" s="19"/>
      <c r="H3" s="8"/>
    </row>
    <row r="4" spans="1:8" ht="15" x14ac:dyDescent="0.25">
      <c r="A4" s="14"/>
      <c r="B4" s="19" t="s">
        <v>6</v>
      </c>
      <c r="C4" s="19" t="s">
        <v>8</v>
      </c>
      <c r="D4" s="19" t="s">
        <v>8</v>
      </c>
      <c r="E4" s="19" t="s">
        <v>12</v>
      </c>
      <c r="F4" s="19" t="s">
        <v>12</v>
      </c>
      <c r="G4" s="19"/>
      <c r="H4" s="8"/>
    </row>
    <row r="5" spans="1:8" ht="15" x14ac:dyDescent="0.25">
      <c r="A5" s="15"/>
      <c r="B5" s="20" t="s">
        <v>7</v>
      </c>
      <c r="C5" s="20" t="s">
        <v>9</v>
      </c>
      <c r="D5" s="20" t="s">
        <v>10</v>
      </c>
      <c r="E5" s="20" t="s">
        <v>13</v>
      </c>
      <c r="F5" s="20" t="s">
        <v>13</v>
      </c>
      <c r="G5" s="20"/>
      <c r="H5" s="9"/>
    </row>
    <row r="6" spans="1:8" x14ac:dyDescent="0.2">
      <c r="A6" s="16" t="s">
        <v>2</v>
      </c>
      <c r="B6" s="1"/>
      <c r="C6" s="1"/>
      <c r="D6" s="1"/>
      <c r="E6" s="1"/>
      <c r="F6" s="1"/>
    </row>
    <row r="7" spans="1:8" x14ac:dyDescent="0.2">
      <c r="A7" s="17" t="s">
        <v>15</v>
      </c>
      <c r="B7" s="1">
        <v>10620000</v>
      </c>
      <c r="C7" s="1">
        <v>9594000</v>
      </c>
      <c r="D7" s="1">
        <v>10624000</v>
      </c>
      <c r="E7" s="1">
        <f>B7+C7+D7</f>
        <v>30838000</v>
      </c>
      <c r="F7" s="1">
        <v>28202000</v>
      </c>
      <c r="H7" s="5"/>
    </row>
    <row r="8" spans="1:8" x14ac:dyDescent="0.2">
      <c r="A8" s="17" t="s">
        <v>16</v>
      </c>
      <c r="B8" s="1">
        <v>9094000</v>
      </c>
      <c r="C8" s="1">
        <v>8685000</v>
      </c>
      <c r="D8" s="1">
        <v>9889000</v>
      </c>
      <c r="E8" s="1">
        <f>D8+C8+B8</f>
        <v>27668000</v>
      </c>
      <c r="F8" s="1">
        <v>25901000</v>
      </c>
      <c r="H8" s="6"/>
    </row>
    <row r="9" spans="1:8" x14ac:dyDescent="0.2">
      <c r="A9" s="17" t="s">
        <v>17</v>
      </c>
      <c r="B9" s="1">
        <v>10101000</v>
      </c>
      <c r="C9" s="1">
        <v>10511000</v>
      </c>
      <c r="D9" s="1">
        <v>9301000</v>
      </c>
      <c r="E9" s="1">
        <f>D9+C9+B9</f>
        <v>29913000</v>
      </c>
      <c r="F9" s="1">
        <v>28674000</v>
      </c>
      <c r="H9" s="6"/>
    </row>
    <row r="10" spans="1:8" x14ac:dyDescent="0.2">
      <c r="A10" s="17" t="s">
        <v>18</v>
      </c>
      <c r="B10" s="1">
        <v>10437000</v>
      </c>
      <c r="C10" s="1">
        <v>9387000</v>
      </c>
      <c r="D10" s="1">
        <v>9715000</v>
      </c>
      <c r="E10" s="1">
        <f t="shared" ref="E10:E18" si="0">B10+C10+D10</f>
        <v>29539000</v>
      </c>
      <c r="F10" s="1">
        <v>29348000</v>
      </c>
      <c r="H10" s="6"/>
    </row>
    <row r="11" spans="1:8" x14ac:dyDescent="0.2">
      <c r="A11" s="17" t="s">
        <v>19</v>
      </c>
      <c r="B11" s="1">
        <v>10679000</v>
      </c>
      <c r="C11" s="1">
        <v>8767000</v>
      </c>
      <c r="D11" s="1">
        <v>10949000</v>
      </c>
      <c r="E11" s="1">
        <f t="shared" si="0"/>
        <v>30395000</v>
      </c>
      <c r="F11" s="1">
        <v>29984000</v>
      </c>
      <c r="H11" s="6"/>
    </row>
    <row r="12" spans="1:8" x14ac:dyDescent="0.2">
      <c r="A12" s="17" t="s">
        <v>20</v>
      </c>
      <c r="B12" s="1">
        <v>11126000</v>
      </c>
      <c r="C12" s="1">
        <v>8995000</v>
      </c>
      <c r="D12" s="1">
        <v>9872000</v>
      </c>
      <c r="E12" s="1">
        <f t="shared" si="0"/>
        <v>29993000</v>
      </c>
      <c r="F12" s="1">
        <v>30421000</v>
      </c>
      <c r="H12" s="6"/>
    </row>
    <row r="13" spans="1:8" x14ac:dyDescent="0.2">
      <c r="A13" s="17" t="s">
        <v>21</v>
      </c>
      <c r="B13" s="1">
        <v>12531000</v>
      </c>
      <c r="C13" s="1">
        <v>8169000</v>
      </c>
      <c r="D13" s="1">
        <v>14962000</v>
      </c>
      <c r="E13" s="1">
        <f t="shared" si="0"/>
        <v>35662000</v>
      </c>
      <c r="F13" s="1">
        <v>34851000</v>
      </c>
      <c r="H13" s="6"/>
    </row>
    <row r="14" spans="1:8" x14ac:dyDescent="0.2">
      <c r="A14" s="17" t="s">
        <v>22</v>
      </c>
      <c r="B14" s="1">
        <v>16248000</v>
      </c>
      <c r="C14" s="1">
        <v>12106000</v>
      </c>
      <c r="D14" s="1">
        <v>17779000</v>
      </c>
      <c r="E14" s="1">
        <f t="shared" si="0"/>
        <v>46133000</v>
      </c>
      <c r="F14" s="1">
        <v>44694000</v>
      </c>
      <c r="H14" s="6"/>
    </row>
    <row r="15" spans="1:8" x14ac:dyDescent="0.2">
      <c r="A15" s="17" t="s">
        <v>23</v>
      </c>
      <c r="B15" s="1">
        <v>13464000</v>
      </c>
      <c r="C15" s="1">
        <v>13054000</v>
      </c>
      <c r="D15" s="1">
        <v>11541000</v>
      </c>
      <c r="E15" s="1">
        <f t="shared" si="0"/>
        <v>38059000</v>
      </c>
      <c r="F15" s="1">
        <v>37120000</v>
      </c>
      <c r="H15" s="6"/>
    </row>
    <row r="16" spans="1:8" x14ac:dyDescent="0.2">
      <c r="A16" s="17" t="s">
        <v>24</v>
      </c>
      <c r="B16" s="1">
        <v>12604000</v>
      </c>
      <c r="C16" s="1">
        <v>9766000</v>
      </c>
      <c r="D16" s="1">
        <v>13317000</v>
      </c>
      <c r="E16" s="1">
        <f t="shared" si="0"/>
        <v>35687000</v>
      </c>
      <c r="F16" s="1">
        <v>33712000</v>
      </c>
      <c r="H16" s="6"/>
    </row>
    <row r="17" spans="1:8" x14ac:dyDescent="0.2">
      <c r="A17" s="17" t="s">
        <v>25</v>
      </c>
      <c r="B17" s="1">
        <v>10525000</v>
      </c>
      <c r="C17" s="1">
        <v>9492000</v>
      </c>
      <c r="D17" s="1">
        <v>9692000</v>
      </c>
      <c r="E17" s="1">
        <f t="shared" si="0"/>
        <v>29709000</v>
      </c>
      <c r="F17" s="1">
        <v>28673000</v>
      </c>
      <c r="H17" s="6"/>
    </row>
    <row r="18" spans="1:8" x14ac:dyDescent="0.2">
      <c r="A18" s="17" t="s">
        <v>26</v>
      </c>
      <c r="B18" s="1">
        <v>11044000</v>
      </c>
      <c r="C18" s="1">
        <v>9455000</v>
      </c>
      <c r="D18" s="1">
        <v>10036000</v>
      </c>
      <c r="E18" s="1">
        <f t="shared" si="0"/>
        <v>30535000</v>
      </c>
      <c r="F18" s="1">
        <v>29156000</v>
      </c>
      <c r="H18" s="6"/>
    </row>
    <row r="19" spans="1:8" x14ac:dyDescent="0.2">
      <c r="A19" s="17"/>
      <c r="B19" s="1"/>
      <c r="C19" s="1"/>
      <c r="D19" s="1"/>
      <c r="E19" s="1"/>
      <c r="F19" s="1"/>
      <c r="H19" s="6"/>
    </row>
    <row r="20" spans="1:8" ht="13.5" thickBot="1" x14ac:dyDescent="0.25">
      <c r="A20" s="18" t="s">
        <v>0</v>
      </c>
      <c r="B20" s="3">
        <f>SUM(B7:B19)</f>
        <v>138473000</v>
      </c>
      <c r="C20" s="3">
        <f>SUM(C7:C19)</f>
        <v>117981000</v>
      </c>
      <c r="D20" s="3">
        <f>SUM(D7:D19)</f>
        <v>137677000</v>
      </c>
      <c r="E20" s="3">
        <f>SUM(E7:E19)</f>
        <v>394131000</v>
      </c>
      <c r="F20" s="3">
        <f>SUM(F7:F19)</f>
        <v>380736000</v>
      </c>
      <c r="G20" s="10"/>
      <c r="H20" s="7"/>
    </row>
    <row r="21" spans="1:8" ht="13.5" thickTop="1" x14ac:dyDescent="0.2">
      <c r="A21" s="16"/>
      <c r="B21" s="1"/>
      <c r="C21" s="1"/>
      <c r="D21" s="1"/>
      <c r="E21" s="1"/>
      <c r="F21" s="1"/>
    </row>
    <row r="22" spans="1:8" ht="13.5" thickBot="1" x14ac:dyDescent="0.25">
      <c r="A22" s="18" t="s">
        <v>28</v>
      </c>
      <c r="B22" s="3"/>
      <c r="C22" s="3"/>
      <c r="D22" s="3">
        <f>B20</f>
        <v>138473000</v>
      </c>
      <c r="E22" s="3"/>
      <c r="F22" s="3"/>
      <c r="G22" s="10"/>
      <c r="H22" s="7"/>
    </row>
    <row r="23" spans="1:8" ht="14.25" thickTop="1" thickBot="1" x14ac:dyDescent="0.25">
      <c r="A23" s="18" t="s">
        <v>27</v>
      </c>
      <c r="B23" s="3"/>
      <c r="C23" s="3"/>
      <c r="D23" s="3">
        <f>C20+D20</f>
        <v>255658000</v>
      </c>
      <c r="E23" s="3"/>
      <c r="F23" s="3"/>
      <c r="G23" s="10"/>
      <c r="H23" s="7"/>
    </row>
    <row r="24" spans="1:8" ht="13.5" thickTop="1" x14ac:dyDescent="0.2">
      <c r="A24" s="16"/>
    </row>
    <row r="25" spans="1:8" x14ac:dyDescent="0.2">
      <c r="A25" s="16"/>
    </row>
    <row r="26" spans="1:8" ht="13.5" thickBot="1" x14ac:dyDescent="0.25">
      <c r="A26" s="4"/>
      <c r="B26" s="2"/>
      <c r="C26" s="2"/>
      <c r="D26" s="2"/>
      <c r="E26" s="2"/>
      <c r="F26" s="2"/>
      <c r="G26" s="25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FE149-7E7A-4B8D-8884-B2490B8134FB}">
  <dimension ref="A1:H24"/>
  <sheetViews>
    <sheetView workbookViewId="0">
      <selection sqref="A1:H23"/>
    </sheetView>
  </sheetViews>
  <sheetFormatPr defaultRowHeight="12.75" x14ac:dyDescent="0.2"/>
  <cols>
    <col min="1" max="1" width="27.85546875" customWidth="1"/>
    <col min="2" max="4" width="13.28515625" customWidth="1"/>
    <col min="5" max="5" width="14.7109375" customWidth="1"/>
    <col min="6" max="6" width="14.42578125" customWidth="1"/>
    <col min="7" max="7" width="17.85546875" customWidth="1"/>
  </cols>
  <sheetData>
    <row r="1" spans="1:8" ht="15" x14ac:dyDescent="0.25">
      <c r="A1" s="21" t="s">
        <v>4</v>
      </c>
      <c r="B1" s="26"/>
      <c r="C1" s="26"/>
      <c r="D1" s="26"/>
      <c r="E1" s="26"/>
      <c r="F1" s="26"/>
      <c r="G1" s="26"/>
      <c r="H1" s="8"/>
    </row>
    <row r="2" spans="1:8" ht="15" x14ac:dyDescent="0.25">
      <c r="A2" s="23" t="s">
        <v>29</v>
      </c>
      <c r="B2" s="27"/>
      <c r="C2" s="27"/>
      <c r="D2" s="27"/>
      <c r="E2" s="27"/>
      <c r="F2" s="27"/>
      <c r="G2" s="27"/>
      <c r="H2" s="8"/>
    </row>
    <row r="3" spans="1:8" ht="15" x14ac:dyDescent="0.25">
      <c r="A3" s="14"/>
      <c r="B3" s="28" t="s">
        <v>5</v>
      </c>
      <c r="C3" s="28" t="s">
        <v>5</v>
      </c>
      <c r="D3" s="28" t="s">
        <v>5</v>
      </c>
      <c r="E3" s="28" t="s">
        <v>11</v>
      </c>
      <c r="F3" s="28" t="s">
        <v>14</v>
      </c>
      <c r="G3" s="28"/>
      <c r="H3" s="8"/>
    </row>
    <row r="4" spans="1:8" ht="15" x14ac:dyDescent="0.25">
      <c r="A4" s="14"/>
      <c r="B4" s="28" t="s">
        <v>6</v>
      </c>
      <c r="C4" s="28" t="s">
        <v>8</v>
      </c>
      <c r="D4" s="28" t="s">
        <v>8</v>
      </c>
      <c r="E4" s="28" t="s">
        <v>12</v>
      </c>
      <c r="F4" s="28" t="s">
        <v>12</v>
      </c>
      <c r="G4" s="28"/>
      <c r="H4" s="8"/>
    </row>
    <row r="5" spans="1:8" ht="15" x14ac:dyDescent="0.25">
      <c r="A5" s="15"/>
      <c r="B5" s="29" t="s">
        <v>7</v>
      </c>
      <c r="C5" s="29" t="s">
        <v>9</v>
      </c>
      <c r="D5" s="29" t="s">
        <v>10</v>
      </c>
      <c r="E5" s="29" t="s">
        <v>13</v>
      </c>
      <c r="F5" s="29" t="s">
        <v>13</v>
      </c>
      <c r="G5" s="29"/>
      <c r="H5" s="9"/>
    </row>
    <row r="6" spans="1:8" x14ac:dyDescent="0.2">
      <c r="A6" s="30" t="s">
        <v>2</v>
      </c>
      <c r="B6" s="1"/>
      <c r="C6" s="1"/>
      <c r="D6" s="1"/>
      <c r="E6" s="1"/>
      <c r="F6" s="1"/>
    </row>
    <row r="7" spans="1:8" x14ac:dyDescent="0.2">
      <c r="A7" s="17" t="s">
        <v>15</v>
      </c>
      <c r="B7" s="1">
        <v>11414000</v>
      </c>
      <c r="C7" s="1">
        <v>9886000</v>
      </c>
      <c r="D7" s="1">
        <v>9768000</v>
      </c>
      <c r="E7" s="1">
        <f>B7+C7+D7</f>
        <v>31068000</v>
      </c>
      <c r="F7" s="1">
        <v>28803000</v>
      </c>
      <c r="H7" s="5"/>
    </row>
    <row r="8" spans="1:8" x14ac:dyDescent="0.2">
      <c r="A8" s="17" t="s">
        <v>16</v>
      </c>
      <c r="B8" s="1">
        <v>10314000</v>
      </c>
      <c r="C8" s="1">
        <v>10277000</v>
      </c>
      <c r="D8" s="1">
        <v>7678000</v>
      </c>
      <c r="E8" s="1">
        <f>D8+C8+B8</f>
        <v>28269000</v>
      </c>
      <c r="F8" s="1">
        <v>28154000</v>
      </c>
      <c r="H8" s="6"/>
    </row>
    <row r="9" spans="1:8" x14ac:dyDescent="0.2">
      <c r="A9" s="17" t="s">
        <v>17</v>
      </c>
      <c r="B9" s="1">
        <v>11158000</v>
      </c>
      <c r="C9" s="1">
        <v>9797000</v>
      </c>
      <c r="D9" s="1">
        <v>10494000</v>
      </c>
      <c r="E9" s="1">
        <f>D9+C9+B9</f>
        <v>31449000</v>
      </c>
      <c r="F9" s="1">
        <v>30073000</v>
      </c>
      <c r="H9" s="6"/>
    </row>
    <row r="10" spans="1:8" x14ac:dyDescent="0.2">
      <c r="A10" s="17" t="s">
        <v>18</v>
      </c>
      <c r="B10" s="1">
        <v>11414000</v>
      </c>
      <c r="C10" s="1">
        <v>9715000</v>
      </c>
      <c r="D10" s="1">
        <v>10697000</v>
      </c>
      <c r="E10" s="1">
        <f t="shared" ref="E10:E18" si="0">B10+C10+D10</f>
        <v>31826000</v>
      </c>
      <c r="F10" s="1">
        <v>30874000</v>
      </c>
      <c r="H10" s="6"/>
    </row>
    <row r="11" spans="1:8" x14ac:dyDescent="0.2">
      <c r="A11" s="17" t="s">
        <v>19</v>
      </c>
      <c r="B11" s="1">
        <v>12354000</v>
      </c>
      <c r="C11" s="1">
        <v>10946000</v>
      </c>
      <c r="D11" s="1">
        <v>10802000</v>
      </c>
      <c r="E11" s="1">
        <f t="shared" si="0"/>
        <v>34102000</v>
      </c>
      <c r="F11" s="1">
        <v>32359000</v>
      </c>
      <c r="H11" s="6"/>
    </row>
    <row r="12" spans="1:8" x14ac:dyDescent="0.2">
      <c r="A12" s="17" t="s">
        <v>20</v>
      </c>
      <c r="B12" s="1">
        <v>12017000</v>
      </c>
      <c r="C12" s="1">
        <v>9516000</v>
      </c>
      <c r="D12" s="1">
        <v>10369000</v>
      </c>
      <c r="E12" s="1">
        <f t="shared" si="0"/>
        <v>31902000</v>
      </c>
      <c r="F12" s="1">
        <v>31025000</v>
      </c>
      <c r="H12" s="6"/>
    </row>
    <row r="13" spans="1:8" x14ac:dyDescent="0.2">
      <c r="A13" s="17" t="s">
        <v>21</v>
      </c>
      <c r="B13" s="1">
        <v>13596000</v>
      </c>
      <c r="C13" s="1">
        <v>10035000</v>
      </c>
      <c r="D13" s="1">
        <v>11873000</v>
      </c>
      <c r="E13" s="1">
        <f t="shared" si="0"/>
        <v>35504000</v>
      </c>
      <c r="F13" s="1">
        <v>35163000</v>
      </c>
      <c r="H13" s="6"/>
    </row>
    <row r="14" spans="1:8" x14ac:dyDescent="0.2">
      <c r="A14" s="17" t="s">
        <v>22</v>
      </c>
      <c r="B14" s="1">
        <v>13998000</v>
      </c>
      <c r="C14" s="1">
        <v>10649000</v>
      </c>
      <c r="D14" s="1">
        <v>12583000</v>
      </c>
      <c r="E14" s="1">
        <f t="shared" si="0"/>
        <v>37230000</v>
      </c>
      <c r="F14" s="1">
        <v>35756000</v>
      </c>
      <c r="H14" s="6"/>
    </row>
    <row r="15" spans="1:8" x14ac:dyDescent="0.2">
      <c r="A15" s="17" t="s">
        <v>23</v>
      </c>
      <c r="B15" s="1">
        <v>11752000</v>
      </c>
      <c r="C15" s="1">
        <v>11810000</v>
      </c>
      <c r="D15" s="1">
        <v>8396000</v>
      </c>
      <c r="E15" s="1">
        <f t="shared" si="0"/>
        <v>31958000</v>
      </c>
      <c r="F15" s="1">
        <v>30670000</v>
      </c>
      <c r="H15" s="6"/>
    </row>
    <row r="16" spans="1:8" x14ac:dyDescent="0.2">
      <c r="A16" s="17" t="s">
        <v>24</v>
      </c>
      <c r="B16" s="1">
        <v>11965000</v>
      </c>
      <c r="C16" s="1">
        <v>10994000</v>
      </c>
      <c r="D16" s="1">
        <v>9399000</v>
      </c>
      <c r="E16" s="1">
        <f t="shared" si="0"/>
        <v>32358000</v>
      </c>
      <c r="F16" s="1">
        <v>29908000</v>
      </c>
      <c r="H16" s="6"/>
    </row>
    <row r="17" spans="1:8" x14ac:dyDescent="0.2">
      <c r="A17" s="17" t="s">
        <v>25</v>
      </c>
      <c r="B17" s="1">
        <v>10784000</v>
      </c>
      <c r="C17" s="1">
        <v>9411000</v>
      </c>
      <c r="D17" s="1">
        <v>8302000</v>
      </c>
      <c r="E17" s="1">
        <f t="shared" si="0"/>
        <v>28497000</v>
      </c>
      <c r="F17" s="1">
        <v>27603000</v>
      </c>
      <c r="H17" s="6"/>
    </row>
    <row r="18" spans="1:8" x14ac:dyDescent="0.2">
      <c r="A18" s="17" t="s">
        <v>26</v>
      </c>
      <c r="B18" s="1">
        <v>10934000</v>
      </c>
      <c r="C18" s="1">
        <v>8385000</v>
      </c>
      <c r="D18" s="1">
        <v>9097000</v>
      </c>
      <c r="E18" s="1">
        <f t="shared" si="0"/>
        <v>28416000</v>
      </c>
      <c r="F18" s="1">
        <v>27465000</v>
      </c>
      <c r="H18" s="6"/>
    </row>
    <row r="19" spans="1:8" x14ac:dyDescent="0.2">
      <c r="A19" s="17"/>
      <c r="B19" s="1"/>
      <c r="C19" s="1"/>
      <c r="D19" s="1"/>
      <c r="E19" s="1"/>
      <c r="F19" s="1"/>
      <c r="H19" s="6"/>
    </row>
    <row r="20" spans="1:8" ht="13.5" thickBot="1" x14ac:dyDescent="0.25">
      <c r="A20" s="31" t="s">
        <v>0</v>
      </c>
      <c r="B20" s="3">
        <f>SUM(B7:B19)</f>
        <v>141700000</v>
      </c>
      <c r="C20" s="3">
        <f>SUM(C7:C19)</f>
        <v>121421000</v>
      </c>
      <c r="D20" s="3">
        <f>SUM(D7:D19)</f>
        <v>119458000</v>
      </c>
      <c r="E20" s="3">
        <f>SUM(E7:E19)</f>
        <v>382579000</v>
      </c>
      <c r="F20" s="3">
        <f>SUM(F7:F19)</f>
        <v>367853000</v>
      </c>
      <c r="G20" s="10"/>
      <c r="H20" s="7"/>
    </row>
    <row r="21" spans="1:8" ht="13.5" thickTop="1" x14ac:dyDescent="0.2">
      <c r="A21" s="30"/>
      <c r="B21" s="1"/>
      <c r="C21" s="1"/>
      <c r="D21" s="1"/>
      <c r="E21" s="1"/>
      <c r="F21" s="1"/>
    </row>
    <row r="22" spans="1:8" ht="13.5" thickBot="1" x14ac:dyDescent="0.25">
      <c r="A22" s="31" t="s">
        <v>28</v>
      </c>
      <c r="B22" s="3"/>
      <c r="C22" s="3"/>
      <c r="D22" s="3">
        <f>B20</f>
        <v>141700000</v>
      </c>
      <c r="E22" s="3"/>
      <c r="F22" s="3"/>
      <c r="G22" s="10"/>
      <c r="H22" s="7"/>
    </row>
    <row r="23" spans="1:8" ht="14.25" thickTop="1" thickBot="1" x14ac:dyDescent="0.25">
      <c r="A23" s="31" t="s">
        <v>27</v>
      </c>
      <c r="B23" s="3"/>
      <c r="C23" s="3"/>
      <c r="D23" s="3">
        <f>C20+D20</f>
        <v>240879000</v>
      </c>
      <c r="E23" s="3"/>
      <c r="F23" s="3"/>
      <c r="G23" s="10"/>
      <c r="H23" s="7"/>
    </row>
    <row r="24" spans="1:8" ht="13.5" thickTop="1" x14ac:dyDescent="0.2"/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FFE8F-9F8F-418C-8560-3CE97FDF87B2}">
  <sheetPr>
    <pageSetUpPr fitToPage="1"/>
  </sheetPr>
  <dimension ref="A1:H27"/>
  <sheetViews>
    <sheetView topLeftCell="A2" workbookViewId="0">
      <selection activeCell="A2" sqref="A2:H27"/>
    </sheetView>
  </sheetViews>
  <sheetFormatPr defaultRowHeight="12.75" x14ac:dyDescent="0.2"/>
  <cols>
    <col min="1" max="1" width="27.85546875" customWidth="1"/>
    <col min="2" max="4" width="13.28515625" customWidth="1"/>
    <col min="5" max="5" width="14.7109375" customWidth="1"/>
    <col min="6" max="6" width="14.42578125" customWidth="1"/>
    <col min="7" max="7" width="17.85546875" customWidth="1"/>
  </cols>
  <sheetData>
    <row r="1" spans="1:8" ht="15" hidden="1" x14ac:dyDescent="0.25">
      <c r="A1" s="11" t="s">
        <v>1</v>
      </c>
      <c r="B1" s="12"/>
      <c r="C1" s="12"/>
      <c r="D1" s="12"/>
      <c r="E1" s="13"/>
      <c r="F1" s="13"/>
      <c r="G1" s="13"/>
    </row>
    <row r="2" spans="1:8" ht="15" x14ac:dyDescent="0.25">
      <c r="A2" s="21" t="s">
        <v>4</v>
      </c>
      <c r="B2" s="26"/>
      <c r="C2" s="26"/>
      <c r="D2" s="26"/>
      <c r="E2" s="26"/>
      <c r="F2" s="26"/>
      <c r="G2" s="26"/>
      <c r="H2" s="8"/>
    </row>
    <row r="3" spans="1:8" ht="15" x14ac:dyDescent="0.25">
      <c r="A3" s="23" t="s">
        <v>30</v>
      </c>
      <c r="B3" s="27"/>
      <c r="C3" s="27"/>
      <c r="D3" s="27"/>
      <c r="E3" s="27"/>
      <c r="F3" s="27"/>
      <c r="G3" s="27"/>
      <c r="H3" s="8"/>
    </row>
    <row r="4" spans="1:8" ht="15" x14ac:dyDescent="0.25">
      <c r="A4" s="14"/>
      <c r="B4" s="28" t="s">
        <v>5</v>
      </c>
      <c r="C4" s="28" t="s">
        <v>5</v>
      </c>
      <c r="D4" s="28" t="s">
        <v>5</v>
      </c>
      <c r="E4" s="28" t="s">
        <v>11</v>
      </c>
      <c r="F4" s="28" t="s">
        <v>14</v>
      </c>
      <c r="G4" s="28"/>
      <c r="H4" s="8"/>
    </row>
    <row r="5" spans="1:8" ht="15" x14ac:dyDescent="0.25">
      <c r="A5" s="14"/>
      <c r="B5" s="28" t="s">
        <v>6</v>
      </c>
      <c r="C5" s="28" t="s">
        <v>8</v>
      </c>
      <c r="D5" s="28" t="s">
        <v>8</v>
      </c>
      <c r="E5" s="28" t="s">
        <v>12</v>
      </c>
      <c r="F5" s="28" t="s">
        <v>12</v>
      </c>
      <c r="G5" s="28"/>
      <c r="H5" s="8"/>
    </row>
    <row r="6" spans="1:8" ht="15" x14ac:dyDescent="0.25">
      <c r="A6" s="15"/>
      <c r="B6" s="29" t="s">
        <v>7</v>
      </c>
      <c r="C6" s="29" t="s">
        <v>9</v>
      </c>
      <c r="D6" s="29" t="s">
        <v>10</v>
      </c>
      <c r="E6" s="29" t="s">
        <v>13</v>
      </c>
      <c r="F6" s="29" t="s">
        <v>13</v>
      </c>
      <c r="G6" s="29"/>
      <c r="H6" s="9"/>
    </row>
    <row r="7" spans="1:8" x14ac:dyDescent="0.2">
      <c r="A7" s="30" t="s">
        <v>2</v>
      </c>
      <c r="B7" s="1"/>
      <c r="C7" s="1"/>
      <c r="D7" s="1"/>
      <c r="E7" s="1"/>
      <c r="F7" s="1"/>
    </row>
    <row r="8" spans="1:8" x14ac:dyDescent="0.2">
      <c r="A8" s="17" t="s">
        <v>15</v>
      </c>
      <c r="B8" s="1">
        <v>4441000</v>
      </c>
      <c r="C8" s="1">
        <v>10894000</v>
      </c>
      <c r="D8" s="1">
        <v>13466000</v>
      </c>
      <c r="E8" s="1">
        <f>B8+C8+D8</f>
        <v>28801000</v>
      </c>
      <c r="F8" s="1">
        <v>27408000</v>
      </c>
      <c r="H8" s="5"/>
    </row>
    <row r="9" spans="1:8" x14ac:dyDescent="0.2">
      <c r="A9" s="17" t="s">
        <v>16</v>
      </c>
      <c r="B9" s="1">
        <v>2153000</v>
      </c>
      <c r="C9" s="1">
        <v>11749000</v>
      </c>
      <c r="D9" s="1">
        <v>12738000</v>
      </c>
      <c r="E9" s="1">
        <f>D9+C9+B9</f>
        <v>26640000</v>
      </c>
      <c r="F9" s="1">
        <v>24967000</v>
      </c>
      <c r="H9" s="6"/>
    </row>
    <row r="10" spans="1:8" x14ac:dyDescent="0.2">
      <c r="A10" s="17" t="s">
        <v>17</v>
      </c>
      <c r="B10" s="1">
        <v>11306000</v>
      </c>
      <c r="C10" s="1">
        <v>8390000</v>
      </c>
      <c r="D10" s="1">
        <v>9577000</v>
      </c>
      <c r="E10" s="1">
        <f>D10+C10+B10</f>
        <v>29273000</v>
      </c>
      <c r="F10" s="1">
        <v>28422000</v>
      </c>
      <c r="H10" s="6"/>
    </row>
    <row r="11" spans="1:8" x14ac:dyDescent="0.2">
      <c r="A11" s="17" t="s">
        <v>18</v>
      </c>
      <c r="B11" s="1">
        <v>11484000</v>
      </c>
      <c r="C11" s="1">
        <v>7992000</v>
      </c>
      <c r="D11" s="1">
        <v>10126000</v>
      </c>
      <c r="E11" s="1">
        <f t="shared" ref="E11:E19" si="0">B11+C11+D11</f>
        <v>29602000</v>
      </c>
      <c r="F11" s="1">
        <v>27960000</v>
      </c>
      <c r="H11" s="6"/>
    </row>
    <row r="12" spans="1:8" x14ac:dyDescent="0.2">
      <c r="A12" s="17" t="s">
        <v>19</v>
      </c>
      <c r="B12" s="1">
        <v>11788000</v>
      </c>
      <c r="C12" s="1">
        <v>9979000</v>
      </c>
      <c r="D12" s="1">
        <v>8726000</v>
      </c>
      <c r="E12" s="1">
        <f t="shared" si="0"/>
        <v>30493000</v>
      </c>
      <c r="F12" s="1">
        <v>29056000</v>
      </c>
      <c r="H12" s="6"/>
    </row>
    <row r="13" spans="1:8" x14ac:dyDescent="0.2">
      <c r="A13" s="17" t="s">
        <v>20</v>
      </c>
      <c r="B13" s="1">
        <v>9772000</v>
      </c>
      <c r="C13" s="1">
        <v>15112000</v>
      </c>
      <c r="D13" s="1">
        <v>2293000</v>
      </c>
      <c r="E13" s="1">
        <f t="shared" si="0"/>
        <v>27177000</v>
      </c>
      <c r="F13" s="1">
        <v>27748000</v>
      </c>
      <c r="H13" s="6"/>
    </row>
    <row r="14" spans="1:8" x14ac:dyDescent="0.2">
      <c r="A14" s="17" t="s">
        <v>21</v>
      </c>
      <c r="B14" s="1">
        <v>7550000</v>
      </c>
      <c r="C14" s="1">
        <v>9340000</v>
      </c>
      <c r="D14" s="1">
        <v>13243000</v>
      </c>
      <c r="E14" s="1">
        <f t="shared" si="0"/>
        <v>30133000</v>
      </c>
      <c r="F14" s="1">
        <v>32357000</v>
      </c>
      <c r="H14" s="6"/>
    </row>
    <row r="15" spans="1:8" x14ac:dyDescent="0.2">
      <c r="A15" s="17" t="s">
        <v>22</v>
      </c>
      <c r="B15" s="1">
        <v>9613000</v>
      </c>
      <c r="C15" s="1">
        <v>1878000</v>
      </c>
      <c r="D15" s="1">
        <v>17541000</v>
      </c>
      <c r="E15" s="1">
        <f t="shared" si="0"/>
        <v>29032000</v>
      </c>
      <c r="F15" s="1">
        <v>29874000</v>
      </c>
      <c r="H15" s="6"/>
    </row>
    <row r="16" spans="1:8" x14ac:dyDescent="0.2">
      <c r="A16" s="17" t="s">
        <v>23</v>
      </c>
      <c r="B16" s="1">
        <v>9163000</v>
      </c>
      <c r="C16" s="1">
        <v>842000</v>
      </c>
      <c r="D16" s="1">
        <v>18494000</v>
      </c>
      <c r="E16" s="1">
        <f t="shared" si="0"/>
        <v>28499000</v>
      </c>
      <c r="F16" s="1">
        <v>28399000</v>
      </c>
      <c r="H16" s="6"/>
    </row>
    <row r="17" spans="1:8" x14ac:dyDescent="0.2">
      <c r="A17" s="17" t="s">
        <v>24</v>
      </c>
      <c r="B17" s="1">
        <v>3242000</v>
      </c>
      <c r="C17" s="1">
        <v>9367000</v>
      </c>
      <c r="D17" s="1">
        <v>14919000</v>
      </c>
      <c r="E17" s="1">
        <f t="shared" si="0"/>
        <v>27528000</v>
      </c>
      <c r="F17" s="1">
        <v>26727000</v>
      </c>
      <c r="H17" s="6"/>
    </row>
    <row r="18" spans="1:8" x14ac:dyDescent="0.2">
      <c r="A18" s="17" t="s">
        <v>25</v>
      </c>
      <c r="B18" s="1">
        <v>0</v>
      </c>
      <c r="C18" s="1">
        <v>11043000</v>
      </c>
      <c r="D18" s="1">
        <v>13493000</v>
      </c>
      <c r="E18" s="1">
        <f t="shared" si="0"/>
        <v>24536000</v>
      </c>
      <c r="F18" s="1">
        <v>23315000</v>
      </c>
      <c r="H18" s="6"/>
    </row>
    <row r="19" spans="1:8" x14ac:dyDescent="0.2">
      <c r="A19" s="17" t="s">
        <v>26</v>
      </c>
      <c r="B19" s="1">
        <v>0</v>
      </c>
      <c r="C19" s="1">
        <v>11691000</v>
      </c>
      <c r="D19" s="1">
        <v>13740000</v>
      </c>
      <c r="E19" s="1">
        <f t="shared" si="0"/>
        <v>25431000</v>
      </c>
      <c r="F19" s="1">
        <v>23649000</v>
      </c>
      <c r="H19" s="6"/>
    </row>
    <row r="20" spans="1:8" x14ac:dyDescent="0.2">
      <c r="A20" s="17"/>
      <c r="B20" s="1"/>
      <c r="C20" s="1"/>
      <c r="D20" s="1"/>
      <c r="E20" s="1"/>
      <c r="F20" s="1"/>
      <c r="H20" s="6"/>
    </row>
    <row r="21" spans="1:8" ht="13.5" thickBot="1" x14ac:dyDescent="0.25">
      <c r="A21" s="31" t="s">
        <v>0</v>
      </c>
      <c r="B21" s="3">
        <f>SUM(B8:B20)</f>
        <v>80512000</v>
      </c>
      <c r="C21" s="3">
        <f>SUM(C8:C20)</f>
        <v>108277000</v>
      </c>
      <c r="D21" s="3">
        <f>SUM(D8:D20)</f>
        <v>148356000</v>
      </c>
      <c r="E21" s="3">
        <f>SUM(E8:E20)</f>
        <v>337145000</v>
      </c>
      <c r="F21" s="3">
        <f>SUM(F8:F20)</f>
        <v>329882000</v>
      </c>
      <c r="G21" s="10"/>
      <c r="H21" s="7"/>
    </row>
    <row r="22" spans="1:8" ht="13.5" thickTop="1" x14ac:dyDescent="0.2">
      <c r="A22" s="30"/>
      <c r="B22" s="1"/>
      <c r="C22" s="1"/>
      <c r="D22" s="1"/>
      <c r="E22" s="1"/>
      <c r="F22" s="1"/>
    </row>
    <row r="23" spans="1:8" ht="13.5" thickBot="1" x14ac:dyDescent="0.25">
      <c r="A23" s="31" t="s">
        <v>28</v>
      </c>
      <c r="B23" s="3"/>
      <c r="C23" s="3"/>
      <c r="D23" s="3">
        <f>B21</f>
        <v>80512000</v>
      </c>
      <c r="E23" s="3"/>
      <c r="F23" s="3"/>
      <c r="G23" s="10"/>
      <c r="H23" s="7"/>
    </row>
    <row r="24" spans="1:8" ht="14.25" thickTop="1" thickBot="1" x14ac:dyDescent="0.25">
      <c r="A24" s="31" t="s">
        <v>27</v>
      </c>
      <c r="B24" s="3"/>
      <c r="C24" s="3"/>
      <c r="D24" s="3">
        <f>C21+D21</f>
        <v>256633000</v>
      </c>
      <c r="E24" s="3"/>
      <c r="F24" s="3"/>
      <c r="G24" s="10"/>
      <c r="H24" s="7"/>
    </row>
    <row r="25" spans="1:8" ht="13.5" thickTop="1" x14ac:dyDescent="0.2">
      <c r="A25" s="30"/>
    </row>
    <row r="26" spans="1:8" x14ac:dyDescent="0.2">
      <c r="A26" s="30"/>
    </row>
    <row r="27" spans="1:8" ht="13.5" thickBot="1" x14ac:dyDescent="0.25">
      <c r="A27" s="32"/>
      <c r="B27" s="2"/>
      <c r="C27" s="2"/>
      <c r="D27" s="2"/>
      <c r="E27" s="2"/>
      <c r="F27" s="2"/>
      <c r="G27" s="25"/>
    </row>
  </sheetData>
  <phoneticPr fontId="0" type="noConversion"/>
  <printOptions gridLines="1" gridLinesSet="0"/>
  <pageMargins left="1.26" right="0.71" top="1.54" bottom="1" header="0.5" footer="0.5"/>
  <pageSetup orientation="landscape" horizontalDpi="4294967293" verticalDpi="300" r:id="rId1"/>
  <headerFooter alignWithMargins="0">
    <oddFooter>&amp;L&amp;F&amp;CPrepared by LEO &amp;D&amp;RPage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9718-A988-41AE-9748-A08574D25423}">
  <dimension ref="A1:H24"/>
  <sheetViews>
    <sheetView workbookViewId="0">
      <selection sqref="A1:H23"/>
    </sheetView>
  </sheetViews>
  <sheetFormatPr defaultRowHeight="12.75" x14ac:dyDescent="0.2"/>
  <cols>
    <col min="1" max="1" width="27.85546875" customWidth="1"/>
    <col min="2" max="4" width="13.28515625" customWidth="1"/>
    <col min="5" max="5" width="14.7109375" customWidth="1"/>
    <col min="6" max="6" width="14.42578125" customWidth="1"/>
    <col min="7" max="7" width="17.85546875" customWidth="1"/>
  </cols>
  <sheetData>
    <row r="1" spans="1:8" ht="15" x14ac:dyDescent="0.25">
      <c r="A1" s="21" t="s">
        <v>4</v>
      </c>
      <c r="B1" s="26"/>
      <c r="C1" s="26"/>
      <c r="D1" s="26"/>
      <c r="E1" s="26"/>
      <c r="F1" s="26"/>
      <c r="G1" s="26"/>
      <c r="H1" s="8"/>
    </row>
    <row r="2" spans="1:8" ht="15" x14ac:dyDescent="0.25">
      <c r="A2" s="23" t="s">
        <v>31</v>
      </c>
      <c r="B2" s="27"/>
      <c r="C2" s="27"/>
      <c r="D2" s="27"/>
      <c r="E2" s="27"/>
      <c r="F2" s="27"/>
      <c r="G2" s="27"/>
      <c r="H2" s="8"/>
    </row>
    <row r="3" spans="1:8" ht="15" x14ac:dyDescent="0.25">
      <c r="A3" s="14"/>
      <c r="B3" s="28" t="s">
        <v>5</v>
      </c>
      <c r="C3" s="28" t="s">
        <v>5</v>
      </c>
      <c r="D3" s="28" t="s">
        <v>5</v>
      </c>
      <c r="E3" s="28" t="s">
        <v>11</v>
      </c>
      <c r="F3" s="28" t="s">
        <v>14</v>
      </c>
      <c r="G3" s="28"/>
      <c r="H3" s="8"/>
    </row>
    <row r="4" spans="1:8" ht="15" x14ac:dyDescent="0.25">
      <c r="A4" s="14"/>
      <c r="B4" s="28" t="s">
        <v>6</v>
      </c>
      <c r="C4" s="28" t="s">
        <v>8</v>
      </c>
      <c r="D4" s="28" t="s">
        <v>8</v>
      </c>
      <c r="E4" s="28" t="s">
        <v>12</v>
      </c>
      <c r="F4" s="28" t="s">
        <v>12</v>
      </c>
      <c r="G4" s="28"/>
      <c r="H4" s="8"/>
    </row>
    <row r="5" spans="1:8" ht="15" x14ac:dyDescent="0.25">
      <c r="A5" s="15"/>
      <c r="B5" s="29" t="s">
        <v>7</v>
      </c>
      <c r="C5" s="29" t="s">
        <v>9</v>
      </c>
      <c r="D5" s="29" t="s">
        <v>10</v>
      </c>
      <c r="E5" s="29" t="s">
        <v>13</v>
      </c>
      <c r="F5" s="29" t="s">
        <v>13</v>
      </c>
      <c r="G5" s="29"/>
      <c r="H5" s="9"/>
    </row>
    <row r="6" spans="1:8" x14ac:dyDescent="0.2">
      <c r="A6" s="30" t="s">
        <v>2</v>
      </c>
      <c r="B6" s="1"/>
      <c r="C6" s="1"/>
      <c r="D6" s="1"/>
      <c r="E6" s="1"/>
      <c r="F6" s="1"/>
    </row>
    <row r="7" spans="1:8" x14ac:dyDescent="0.2">
      <c r="A7" s="17" t="s">
        <v>15</v>
      </c>
      <c r="B7" s="1">
        <v>0</v>
      </c>
      <c r="C7" s="1">
        <v>12798000</v>
      </c>
      <c r="D7" s="1">
        <v>13923000</v>
      </c>
      <c r="E7" s="1">
        <f>B7+C7+D7</f>
        <v>26721000</v>
      </c>
      <c r="F7" s="1">
        <v>24898000</v>
      </c>
      <c r="H7" s="5"/>
    </row>
    <row r="8" spans="1:8" x14ac:dyDescent="0.2">
      <c r="A8" s="17" t="s">
        <v>16</v>
      </c>
      <c r="B8" s="1">
        <v>0</v>
      </c>
      <c r="C8" s="1">
        <v>12387000</v>
      </c>
      <c r="D8" s="1">
        <v>11704000</v>
      </c>
      <c r="E8" s="1">
        <f>D8+C8+B8</f>
        <v>24091000</v>
      </c>
      <c r="F8" s="1">
        <v>22319000</v>
      </c>
      <c r="H8" s="6"/>
    </row>
    <row r="9" spans="1:8" x14ac:dyDescent="0.2">
      <c r="A9" s="17" t="s">
        <v>17</v>
      </c>
      <c r="B9" s="1">
        <v>0</v>
      </c>
      <c r="C9" s="1">
        <v>12357000</v>
      </c>
      <c r="D9" s="1">
        <v>12250000</v>
      </c>
      <c r="E9" s="1">
        <f>D9+C9+B9</f>
        <v>24607000</v>
      </c>
      <c r="F9" s="1">
        <v>24085000</v>
      </c>
      <c r="H9" s="6"/>
    </row>
    <row r="10" spans="1:8" x14ac:dyDescent="0.2">
      <c r="A10" s="17" t="s">
        <v>18</v>
      </c>
      <c r="B10" s="1">
        <v>0</v>
      </c>
      <c r="C10" s="1">
        <v>12820000</v>
      </c>
      <c r="D10" s="1">
        <v>12577000</v>
      </c>
      <c r="E10" s="1">
        <f t="shared" ref="E10:E18" si="0">B10+C10+D10</f>
        <v>25397000</v>
      </c>
      <c r="F10" s="1">
        <v>23928000</v>
      </c>
      <c r="H10" s="6"/>
    </row>
    <row r="11" spans="1:8" x14ac:dyDescent="0.2">
      <c r="A11" s="17" t="s">
        <v>19</v>
      </c>
      <c r="B11" s="1">
        <v>0</v>
      </c>
      <c r="C11" s="1">
        <v>13934000</v>
      </c>
      <c r="D11" s="1">
        <v>13805000</v>
      </c>
      <c r="E11" s="1">
        <f t="shared" si="0"/>
        <v>27739000</v>
      </c>
      <c r="F11" s="1">
        <v>26243000</v>
      </c>
      <c r="H11" s="6"/>
    </row>
    <row r="12" spans="1:8" x14ac:dyDescent="0.2">
      <c r="A12" s="17" t="s">
        <v>20</v>
      </c>
      <c r="B12" s="1">
        <v>0</v>
      </c>
      <c r="C12" s="1">
        <v>10466000</v>
      </c>
      <c r="D12" s="1">
        <v>19304000</v>
      </c>
      <c r="E12" s="1">
        <f t="shared" si="0"/>
        <v>29770000</v>
      </c>
      <c r="F12" s="1">
        <v>29290000</v>
      </c>
      <c r="H12" s="6"/>
    </row>
    <row r="13" spans="1:8" x14ac:dyDescent="0.2">
      <c r="A13" s="17" t="s">
        <v>21</v>
      </c>
      <c r="B13" s="1">
        <v>7146000</v>
      </c>
      <c r="C13" s="1">
        <v>13574000</v>
      </c>
      <c r="D13" s="1">
        <v>18632000</v>
      </c>
      <c r="E13" s="1">
        <f t="shared" si="0"/>
        <v>39352000</v>
      </c>
      <c r="F13" s="1">
        <v>39575000</v>
      </c>
      <c r="H13" s="6"/>
    </row>
    <row r="14" spans="1:8" x14ac:dyDescent="0.2">
      <c r="A14" s="17" t="s">
        <v>22</v>
      </c>
      <c r="B14" s="1">
        <v>13742000</v>
      </c>
      <c r="C14" s="1">
        <v>22910000</v>
      </c>
      <c r="D14" s="1">
        <v>66000</v>
      </c>
      <c r="E14" s="1">
        <f t="shared" si="0"/>
        <v>36718000</v>
      </c>
      <c r="F14" s="1">
        <v>34334000</v>
      </c>
      <c r="H14" s="6"/>
    </row>
    <row r="15" spans="1:8" x14ac:dyDescent="0.2">
      <c r="A15" s="17" t="s">
        <v>23</v>
      </c>
      <c r="B15" s="1">
        <v>8480000</v>
      </c>
      <c r="C15" s="1">
        <v>19990000</v>
      </c>
      <c r="D15" s="1">
        <v>1048000</v>
      </c>
      <c r="E15" s="1">
        <f t="shared" si="0"/>
        <v>29518000</v>
      </c>
      <c r="F15" s="1">
        <v>27113000</v>
      </c>
      <c r="H15" s="6"/>
    </row>
    <row r="16" spans="1:8" x14ac:dyDescent="0.2">
      <c r="A16" s="17" t="s">
        <v>24</v>
      </c>
      <c r="B16" s="1">
        <v>9703000</v>
      </c>
      <c r="C16" s="1">
        <v>18274000</v>
      </c>
      <c r="D16" s="1">
        <v>35000</v>
      </c>
      <c r="E16" s="1">
        <f t="shared" si="0"/>
        <v>28012000</v>
      </c>
      <c r="F16" s="1">
        <v>25425000</v>
      </c>
      <c r="H16" s="6"/>
    </row>
    <row r="17" spans="1:8" x14ac:dyDescent="0.2">
      <c r="A17" s="17" t="s">
        <v>25</v>
      </c>
      <c r="B17" s="1">
        <v>6402000</v>
      </c>
      <c r="C17" s="1">
        <v>18937000</v>
      </c>
      <c r="D17" s="1">
        <v>0</v>
      </c>
      <c r="E17" s="1">
        <f t="shared" si="0"/>
        <v>25339000</v>
      </c>
      <c r="F17" s="1">
        <v>23519000</v>
      </c>
      <c r="H17" s="6"/>
    </row>
    <row r="18" spans="1:8" x14ac:dyDescent="0.2">
      <c r="A18" s="17" t="s">
        <v>26</v>
      </c>
      <c r="B18" s="1">
        <v>7992000</v>
      </c>
      <c r="C18" s="1">
        <v>16744000</v>
      </c>
      <c r="D18" s="1">
        <v>0</v>
      </c>
      <c r="E18" s="1">
        <f t="shared" si="0"/>
        <v>24736000</v>
      </c>
      <c r="F18" s="1">
        <v>23281000</v>
      </c>
      <c r="H18" s="6"/>
    </row>
    <row r="19" spans="1:8" x14ac:dyDescent="0.2">
      <c r="A19" s="17"/>
      <c r="B19" s="1"/>
      <c r="C19" s="1"/>
      <c r="D19" s="1"/>
      <c r="E19" s="1"/>
      <c r="F19" s="1"/>
      <c r="H19" s="6"/>
    </row>
    <row r="20" spans="1:8" ht="13.5" thickBot="1" x14ac:dyDescent="0.25">
      <c r="A20" s="31" t="s">
        <v>0</v>
      </c>
      <c r="B20" s="3">
        <f>SUM(B7:B19)</f>
        <v>53465000</v>
      </c>
      <c r="C20" s="3">
        <f>SUM(C7:C19)</f>
        <v>185191000</v>
      </c>
      <c r="D20" s="3">
        <f>SUM(D7:D19)</f>
        <v>103344000</v>
      </c>
      <c r="E20" s="3">
        <f>SUM(E7:E19)</f>
        <v>342000000</v>
      </c>
      <c r="F20" s="3">
        <f>SUM(F7:F19)</f>
        <v>324010000</v>
      </c>
      <c r="G20" s="10"/>
      <c r="H20" s="7"/>
    </row>
    <row r="21" spans="1:8" ht="13.5" thickTop="1" x14ac:dyDescent="0.2">
      <c r="A21" s="30"/>
      <c r="B21" s="1"/>
      <c r="C21" s="1"/>
      <c r="D21" s="1"/>
      <c r="E21" s="1"/>
      <c r="F21" s="1"/>
    </row>
    <row r="22" spans="1:8" ht="13.5" thickBot="1" x14ac:dyDescent="0.25">
      <c r="A22" s="31" t="s">
        <v>28</v>
      </c>
      <c r="B22" s="3"/>
      <c r="C22" s="3"/>
      <c r="D22" s="3">
        <f>B20</f>
        <v>53465000</v>
      </c>
      <c r="E22" s="3"/>
      <c r="F22" s="3"/>
      <c r="G22" s="10"/>
      <c r="H22" s="7"/>
    </row>
    <row r="23" spans="1:8" ht="14.25" thickTop="1" thickBot="1" x14ac:dyDescent="0.25">
      <c r="A23" s="31" t="s">
        <v>27</v>
      </c>
      <c r="B23" s="3"/>
      <c r="C23" s="3"/>
      <c r="D23" s="3">
        <f>C20+D20</f>
        <v>288535000</v>
      </c>
      <c r="E23" s="3"/>
      <c r="F23" s="3"/>
      <c r="G23" s="10"/>
      <c r="H23" s="7"/>
    </row>
    <row r="24" spans="1:8" ht="13.5" thickTop="1" x14ac:dyDescent="0.2"/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4782-8EC9-4328-9F35-77CFC2480D14}">
  <dimension ref="A1:H26"/>
  <sheetViews>
    <sheetView workbookViewId="0">
      <selection sqref="A1:H26"/>
    </sheetView>
  </sheetViews>
  <sheetFormatPr defaultRowHeight="12.75" x14ac:dyDescent="0.2"/>
  <cols>
    <col min="1" max="1" width="27.85546875" customWidth="1"/>
    <col min="2" max="4" width="13.28515625" customWidth="1"/>
    <col min="5" max="5" width="14.7109375" customWidth="1"/>
    <col min="6" max="6" width="14.42578125" customWidth="1"/>
    <col min="7" max="7" width="17.85546875" customWidth="1"/>
  </cols>
  <sheetData>
    <row r="1" spans="1:8" ht="15" x14ac:dyDescent="0.25">
      <c r="A1" s="21" t="s">
        <v>4</v>
      </c>
      <c r="B1" s="26"/>
      <c r="C1" s="26"/>
      <c r="D1" s="26"/>
      <c r="E1" s="26"/>
      <c r="F1" s="26"/>
      <c r="G1" s="26"/>
      <c r="H1" s="8"/>
    </row>
    <row r="2" spans="1:8" ht="15" x14ac:dyDescent="0.25">
      <c r="A2" s="23" t="s">
        <v>32</v>
      </c>
      <c r="B2" s="27"/>
      <c r="C2" s="27"/>
      <c r="D2" s="27"/>
      <c r="E2" s="27"/>
      <c r="F2" s="27"/>
      <c r="G2" s="27"/>
      <c r="H2" s="8"/>
    </row>
    <row r="3" spans="1:8" ht="15" x14ac:dyDescent="0.25">
      <c r="A3" s="14"/>
      <c r="B3" s="28" t="s">
        <v>5</v>
      </c>
      <c r="C3" s="28" t="s">
        <v>5</v>
      </c>
      <c r="D3" s="28" t="s">
        <v>5</v>
      </c>
      <c r="E3" s="28" t="s">
        <v>11</v>
      </c>
      <c r="F3" s="28" t="s">
        <v>14</v>
      </c>
      <c r="G3" s="28"/>
      <c r="H3" s="8"/>
    </row>
    <row r="4" spans="1:8" ht="15" x14ac:dyDescent="0.25">
      <c r="A4" s="14"/>
      <c r="B4" s="28" t="s">
        <v>6</v>
      </c>
      <c r="C4" s="28" t="s">
        <v>8</v>
      </c>
      <c r="D4" s="28" t="s">
        <v>8</v>
      </c>
      <c r="E4" s="28" t="s">
        <v>12</v>
      </c>
      <c r="F4" s="28" t="s">
        <v>12</v>
      </c>
      <c r="G4" s="28"/>
      <c r="H4" s="8"/>
    </row>
    <row r="5" spans="1:8" ht="15" x14ac:dyDescent="0.25">
      <c r="A5" s="15"/>
      <c r="B5" s="29" t="s">
        <v>7</v>
      </c>
      <c r="C5" s="29" t="s">
        <v>9</v>
      </c>
      <c r="D5" s="29" t="s">
        <v>10</v>
      </c>
      <c r="E5" s="29" t="s">
        <v>13</v>
      </c>
      <c r="F5" s="29" t="s">
        <v>13</v>
      </c>
      <c r="G5" s="29"/>
      <c r="H5" s="9"/>
    </row>
    <row r="6" spans="1:8" x14ac:dyDescent="0.2">
      <c r="A6" s="30" t="s">
        <v>2</v>
      </c>
      <c r="B6" s="1"/>
      <c r="C6" s="1"/>
      <c r="D6" s="1"/>
      <c r="E6" s="1"/>
      <c r="F6" s="1"/>
    </row>
    <row r="7" spans="1:8" x14ac:dyDescent="0.2">
      <c r="A7" s="17" t="s">
        <v>15</v>
      </c>
      <c r="B7" s="1">
        <v>8477000</v>
      </c>
      <c r="C7" s="1">
        <v>18544000</v>
      </c>
      <c r="D7" s="1">
        <v>0</v>
      </c>
      <c r="E7" s="1">
        <f>B7+C7+D7</f>
        <v>27021000</v>
      </c>
      <c r="F7" s="1">
        <v>24211000</v>
      </c>
      <c r="H7" s="5"/>
    </row>
    <row r="8" spans="1:8" x14ac:dyDescent="0.2">
      <c r="A8" s="17" t="s">
        <v>16</v>
      </c>
      <c r="B8" s="1">
        <v>4943000</v>
      </c>
      <c r="C8" s="1">
        <v>14355000</v>
      </c>
      <c r="D8" s="1">
        <v>4007000</v>
      </c>
      <c r="E8" s="1">
        <f>D8+C8+B8</f>
        <v>23305000</v>
      </c>
      <c r="F8" s="1">
        <v>22420000</v>
      </c>
      <c r="H8" s="6"/>
    </row>
    <row r="9" spans="1:8" x14ac:dyDescent="0.2">
      <c r="A9" s="17" t="s">
        <v>17</v>
      </c>
      <c r="B9" s="1">
        <v>5142000</v>
      </c>
      <c r="C9" s="1">
        <v>8854000</v>
      </c>
      <c r="D9" s="1">
        <v>13162000</v>
      </c>
      <c r="E9" s="1">
        <f>D9+C9+B9</f>
        <v>27158000</v>
      </c>
      <c r="F9" s="1">
        <v>25284000</v>
      </c>
      <c r="H9" s="6"/>
    </row>
    <row r="10" spans="1:8" x14ac:dyDescent="0.2">
      <c r="A10" s="17" t="s">
        <v>18</v>
      </c>
      <c r="B10" s="1">
        <v>6747000</v>
      </c>
      <c r="C10" s="1">
        <v>10623000</v>
      </c>
      <c r="D10" s="1">
        <v>10379000</v>
      </c>
      <c r="E10" s="1">
        <f>B10+C10+D10</f>
        <v>27749000</v>
      </c>
      <c r="F10" s="1">
        <v>25654000</v>
      </c>
      <c r="H10" s="6"/>
    </row>
    <row r="11" spans="1:8" x14ac:dyDescent="0.2">
      <c r="A11" s="17" t="s">
        <v>19</v>
      </c>
      <c r="B11" s="1">
        <v>7472000</v>
      </c>
      <c r="C11" s="1">
        <v>9664000</v>
      </c>
      <c r="D11" s="1">
        <v>13142000</v>
      </c>
      <c r="E11" s="1">
        <f t="shared" ref="E11:E18" si="0">B11+C11+D11</f>
        <v>30278000</v>
      </c>
      <c r="F11" s="1">
        <v>28867000</v>
      </c>
      <c r="H11" s="6"/>
    </row>
    <row r="12" spans="1:8" x14ac:dyDescent="0.2">
      <c r="A12" s="17" t="s">
        <v>20</v>
      </c>
      <c r="B12" s="1">
        <v>7592000</v>
      </c>
      <c r="C12" s="1">
        <v>10751000</v>
      </c>
      <c r="D12" s="1">
        <v>13055000</v>
      </c>
      <c r="E12" s="1">
        <f t="shared" si="0"/>
        <v>31398000</v>
      </c>
      <c r="F12" s="1">
        <v>29815000</v>
      </c>
      <c r="H12" s="6"/>
    </row>
    <row r="13" spans="1:8" x14ac:dyDescent="0.2">
      <c r="A13" s="17" t="s">
        <v>21</v>
      </c>
      <c r="B13" s="1">
        <v>9725000</v>
      </c>
      <c r="C13" s="1">
        <v>18334000</v>
      </c>
      <c r="D13" s="1">
        <v>16020000</v>
      </c>
      <c r="E13" s="1">
        <f t="shared" si="0"/>
        <v>44079000</v>
      </c>
      <c r="F13" s="1">
        <v>41468000</v>
      </c>
      <c r="H13" s="6"/>
    </row>
    <row r="14" spans="1:8" x14ac:dyDescent="0.2">
      <c r="A14" s="17" t="s">
        <v>22</v>
      </c>
      <c r="B14" s="1">
        <v>9054000</v>
      </c>
      <c r="C14" s="1">
        <v>14399000</v>
      </c>
      <c r="D14" s="1">
        <v>14917000</v>
      </c>
      <c r="E14" s="1">
        <f t="shared" si="0"/>
        <v>38370000</v>
      </c>
      <c r="F14" s="1">
        <v>35865000</v>
      </c>
      <c r="H14" s="6"/>
    </row>
    <row r="15" spans="1:8" x14ac:dyDescent="0.2">
      <c r="A15" s="17" t="s">
        <v>23</v>
      </c>
      <c r="B15" s="1">
        <v>7516000</v>
      </c>
      <c r="C15" s="1">
        <v>13384000</v>
      </c>
      <c r="D15" s="1">
        <v>11102000</v>
      </c>
      <c r="E15" s="1">
        <f t="shared" si="0"/>
        <v>32002000</v>
      </c>
      <c r="F15" s="1">
        <v>30510000</v>
      </c>
      <c r="H15" s="6"/>
    </row>
    <row r="16" spans="1:8" x14ac:dyDescent="0.2">
      <c r="A16" s="17" t="s">
        <v>24</v>
      </c>
      <c r="B16" s="1">
        <v>7111000</v>
      </c>
      <c r="C16" s="1">
        <v>9792000</v>
      </c>
      <c r="D16" s="1">
        <v>12682000</v>
      </c>
      <c r="E16" s="1">
        <f t="shared" si="0"/>
        <v>29585000</v>
      </c>
      <c r="F16" s="1">
        <v>28234000</v>
      </c>
      <c r="H16" s="6"/>
    </row>
    <row r="17" spans="1:8" x14ac:dyDescent="0.2">
      <c r="A17" s="17" t="s">
        <v>25</v>
      </c>
      <c r="B17" s="1">
        <v>5998000</v>
      </c>
      <c r="C17" s="1">
        <v>8891000</v>
      </c>
      <c r="D17" s="1">
        <v>11348000</v>
      </c>
      <c r="E17" s="1">
        <f t="shared" si="0"/>
        <v>26237000</v>
      </c>
      <c r="F17" s="1">
        <v>24666000</v>
      </c>
      <c r="H17" s="6"/>
    </row>
    <row r="18" spans="1:8" x14ac:dyDescent="0.2">
      <c r="A18" s="17" t="s">
        <v>26</v>
      </c>
      <c r="B18" s="1">
        <v>5509000</v>
      </c>
      <c r="C18" s="1">
        <v>8932000</v>
      </c>
      <c r="D18" s="1">
        <v>11563000</v>
      </c>
      <c r="E18" s="1">
        <f t="shared" si="0"/>
        <v>26004000</v>
      </c>
      <c r="F18" s="1">
        <v>24376000</v>
      </c>
      <c r="H18" s="6"/>
    </row>
    <row r="19" spans="1:8" x14ac:dyDescent="0.2">
      <c r="A19" s="17"/>
      <c r="B19" s="1"/>
      <c r="C19" s="1"/>
      <c r="D19" s="1"/>
      <c r="E19" s="1"/>
      <c r="F19" s="1"/>
      <c r="H19" s="6"/>
    </row>
    <row r="20" spans="1:8" ht="13.5" thickBot="1" x14ac:dyDescent="0.25">
      <c r="A20" s="31" t="s">
        <v>0</v>
      </c>
      <c r="B20" s="3">
        <f>SUM(B7:B19)</f>
        <v>85286000</v>
      </c>
      <c r="C20" s="3">
        <f>SUM(C7:C19)</f>
        <v>146523000</v>
      </c>
      <c r="D20" s="3">
        <f>SUM(D7:D19)</f>
        <v>131377000</v>
      </c>
      <c r="E20" s="3">
        <f>SUM(E7:E19)</f>
        <v>363186000</v>
      </c>
      <c r="F20" s="3">
        <f>SUM(F7:F19)</f>
        <v>341370000</v>
      </c>
      <c r="G20" s="10"/>
      <c r="H20" s="7"/>
    </row>
    <row r="21" spans="1:8" ht="13.5" thickTop="1" x14ac:dyDescent="0.2">
      <c r="A21" s="30"/>
      <c r="B21" s="1"/>
      <c r="C21" s="1"/>
      <c r="D21" s="1"/>
      <c r="E21" s="1"/>
      <c r="F21" s="1"/>
    </row>
    <row r="22" spans="1:8" ht="13.5" thickBot="1" x14ac:dyDescent="0.25">
      <c r="A22" s="31" t="s">
        <v>28</v>
      </c>
      <c r="B22" s="3"/>
      <c r="C22" s="3"/>
      <c r="D22" s="3">
        <f>B20</f>
        <v>85286000</v>
      </c>
      <c r="E22" s="3"/>
      <c r="F22" s="3"/>
      <c r="G22" s="10"/>
      <c r="H22" s="7"/>
    </row>
    <row r="23" spans="1:8" ht="14.25" thickTop="1" thickBot="1" x14ac:dyDescent="0.25">
      <c r="A23" s="31" t="s">
        <v>27</v>
      </c>
      <c r="B23" s="3"/>
      <c r="C23" s="3"/>
      <c r="D23" s="3">
        <f>C20+D20</f>
        <v>277900000</v>
      </c>
      <c r="E23" s="3"/>
      <c r="F23" s="3"/>
      <c r="G23" s="10"/>
      <c r="H23" s="7"/>
    </row>
    <row r="24" spans="1:8" ht="13.5" thickTop="1" x14ac:dyDescent="0.2">
      <c r="A24" s="30"/>
    </row>
    <row r="25" spans="1:8" x14ac:dyDescent="0.2">
      <c r="A25" s="30"/>
    </row>
    <row r="26" spans="1:8" ht="13.5" thickBot="1" x14ac:dyDescent="0.25">
      <c r="A26" s="32"/>
      <c r="B26" s="2"/>
      <c r="C26" s="2"/>
      <c r="D26" s="2"/>
      <c r="E26" s="2"/>
      <c r="F26" s="2"/>
      <c r="G26" s="25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ABF0-F2D6-45F2-8240-BBDE2FC1FC81}">
  <dimension ref="A1:I26"/>
  <sheetViews>
    <sheetView workbookViewId="0">
      <selection activeCell="O18" sqref="O18"/>
    </sheetView>
  </sheetViews>
  <sheetFormatPr defaultRowHeight="12.75" x14ac:dyDescent="0.2"/>
  <cols>
    <col min="1" max="1" width="27.85546875" customWidth="1"/>
    <col min="2" max="5" width="13.28515625" customWidth="1"/>
    <col min="6" max="6" width="14.7109375" customWidth="1"/>
    <col min="7" max="7" width="14.42578125" customWidth="1"/>
    <col min="8" max="8" width="17.85546875" customWidth="1"/>
  </cols>
  <sheetData>
    <row r="1" spans="1:9" ht="15" x14ac:dyDescent="0.25">
      <c r="A1" s="21" t="s">
        <v>4</v>
      </c>
      <c r="B1" s="26"/>
      <c r="C1" s="26"/>
      <c r="D1" s="26"/>
      <c r="E1" s="26"/>
      <c r="F1" s="26"/>
      <c r="G1" s="26"/>
      <c r="H1" s="8"/>
    </row>
    <row r="2" spans="1:9" ht="15" x14ac:dyDescent="0.25">
      <c r="A2" s="23" t="s">
        <v>35</v>
      </c>
      <c r="B2" s="27"/>
      <c r="C2" s="27"/>
      <c r="D2" s="27"/>
      <c r="E2" s="27"/>
      <c r="F2" s="27"/>
      <c r="G2" s="27"/>
      <c r="H2" s="8"/>
    </row>
    <row r="3" spans="1:9" ht="15" x14ac:dyDescent="0.25">
      <c r="A3" s="14"/>
      <c r="B3" s="28" t="s">
        <v>5</v>
      </c>
      <c r="C3" s="28" t="s">
        <v>5</v>
      </c>
      <c r="D3" s="28" t="s">
        <v>5</v>
      </c>
      <c r="E3" s="33" t="s">
        <v>33</v>
      </c>
      <c r="F3" s="28" t="s">
        <v>11</v>
      </c>
      <c r="G3" s="28" t="s">
        <v>14</v>
      </c>
      <c r="H3" s="28"/>
      <c r="I3" s="8"/>
    </row>
    <row r="4" spans="1:9" ht="15" x14ac:dyDescent="0.25">
      <c r="A4" s="14"/>
      <c r="B4" s="28" t="s">
        <v>6</v>
      </c>
      <c r="C4" s="28" t="s">
        <v>8</v>
      </c>
      <c r="D4" s="28" t="s">
        <v>8</v>
      </c>
      <c r="E4" s="28" t="s">
        <v>0</v>
      </c>
      <c r="F4" s="28" t="s">
        <v>12</v>
      </c>
      <c r="G4" s="28" t="s">
        <v>12</v>
      </c>
      <c r="H4" s="28"/>
      <c r="I4" s="8"/>
    </row>
    <row r="5" spans="1:9" ht="15" x14ac:dyDescent="0.25">
      <c r="A5" s="15"/>
      <c r="B5" s="29" t="s">
        <v>7</v>
      </c>
      <c r="C5" s="29" t="s">
        <v>9</v>
      </c>
      <c r="D5" s="29" t="s">
        <v>10</v>
      </c>
      <c r="E5" s="29" t="s">
        <v>34</v>
      </c>
      <c r="F5" s="29" t="s">
        <v>13</v>
      </c>
      <c r="G5" s="29" t="s">
        <v>13</v>
      </c>
      <c r="H5" s="29"/>
      <c r="I5" s="9"/>
    </row>
    <row r="6" spans="1:9" x14ac:dyDescent="0.2">
      <c r="A6" s="30" t="s">
        <v>2</v>
      </c>
      <c r="B6" s="1"/>
      <c r="C6" s="1"/>
      <c r="D6" s="1"/>
      <c r="E6" s="1"/>
      <c r="F6" s="1"/>
      <c r="G6" s="1"/>
    </row>
    <row r="7" spans="1:9" x14ac:dyDescent="0.2">
      <c r="A7" s="17" t="s">
        <v>15</v>
      </c>
      <c r="B7" s="1">
        <v>3267000</v>
      </c>
      <c r="C7" s="1">
        <v>10001000</v>
      </c>
      <c r="D7" s="1">
        <v>14570000</v>
      </c>
      <c r="E7" s="1">
        <f>D7+C7</f>
        <v>24571000</v>
      </c>
      <c r="F7" s="1">
        <f>B7+C7+D7</f>
        <v>27838000</v>
      </c>
      <c r="G7" s="1">
        <v>25765000</v>
      </c>
      <c r="I7" s="5"/>
    </row>
    <row r="8" spans="1:9" x14ac:dyDescent="0.2">
      <c r="A8" s="17" t="s">
        <v>16</v>
      </c>
      <c r="B8" s="1">
        <v>5985000</v>
      </c>
      <c r="C8" s="1">
        <v>8512000</v>
      </c>
      <c r="D8" s="1">
        <v>11721000</v>
      </c>
      <c r="E8" s="1">
        <f t="shared" ref="E8:E18" si="0">D8+C8</f>
        <v>20233000</v>
      </c>
      <c r="F8" s="1">
        <f>D8+C8+B8</f>
        <v>26218000</v>
      </c>
      <c r="G8" s="1">
        <v>25038000</v>
      </c>
      <c r="I8" s="6"/>
    </row>
    <row r="9" spans="1:9" x14ac:dyDescent="0.2">
      <c r="A9" s="17" t="s">
        <v>17</v>
      </c>
      <c r="B9" s="1">
        <v>5695000</v>
      </c>
      <c r="C9" s="1">
        <v>8189000</v>
      </c>
      <c r="D9" s="1">
        <v>12464000</v>
      </c>
      <c r="E9" s="1">
        <f t="shared" si="0"/>
        <v>20653000</v>
      </c>
      <c r="F9" s="1">
        <f>D9+C9+B9</f>
        <v>26348000</v>
      </c>
      <c r="G9" s="1">
        <v>25023000</v>
      </c>
      <c r="I9" s="6"/>
    </row>
    <row r="10" spans="1:9" x14ac:dyDescent="0.2">
      <c r="A10" s="17" t="s">
        <v>18</v>
      </c>
      <c r="B10" s="1">
        <v>5530000</v>
      </c>
      <c r="C10" s="1">
        <v>8022000</v>
      </c>
      <c r="D10" s="1">
        <v>12744000</v>
      </c>
      <c r="E10" s="1">
        <f t="shared" si="0"/>
        <v>20766000</v>
      </c>
      <c r="F10" s="1">
        <f>B10+C10+D10</f>
        <v>26296000</v>
      </c>
      <c r="G10" s="1">
        <v>24983000</v>
      </c>
      <c r="I10" s="6"/>
    </row>
    <row r="11" spans="1:9" x14ac:dyDescent="0.2">
      <c r="A11" s="17" t="s">
        <v>19</v>
      </c>
      <c r="B11" s="1">
        <v>6139000</v>
      </c>
      <c r="C11" s="1">
        <v>10578000</v>
      </c>
      <c r="D11" s="1">
        <v>11508000</v>
      </c>
      <c r="E11" s="1">
        <f t="shared" si="0"/>
        <v>22086000</v>
      </c>
      <c r="F11" s="1">
        <f t="shared" ref="F11:F18" si="1">B11+C11+D11</f>
        <v>28225000</v>
      </c>
      <c r="G11" s="1">
        <v>26696000</v>
      </c>
      <c r="I11" s="6"/>
    </row>
    <row r="12" spans="1:9" x14ac:dyDescent="0.2">
      <c r="A12" s="17" t="s">
        <v>20</v>
      </c>
      <c r="B12" s="1">
        <v>2302000</v>
      </c>
      <c r="C12" s="1">
        <v>12959000</v>
      </c>
      <c r="D12" s="1">
        <v>13452000</v>
      </c>
      <c r="E12" s="1">
        <f t="shared" si="0"/>
        <v>26411000</v>
      </c>
      <c r="F12" s="1">
        <f t="shared" si="1"/>
        <v>28713000</v>
      </c>
      <c r="G12" s="1">
        <v>26837000</v>
      </c>
      <c r="I12" s="6"/>
    </row>
    <row r="13" spans="1:9" x14ac:dyDescent="0.2">
      <c r="A13" s="17" t="s">
        <v>21</v>
      </c>
      <c r="B13" s="1">
        <v>3949000</v>
      </c>
      <c r="C13" s="1">
        <v>18094000</v>
      </c>
      <c r="D13" s="1">
        <v>14708000</v>
      </c>
      <c r="E13" s="1">
        <f t="shared" si="0"/>
        <v>32802000</v>
      </c>
      <c r="F13" s="1">
        <f t="shared" si="1"/>
        <v>36751000</v>
      </c>
      <c r="G13" s="1">
        <v>34383000</v>
      </c>
      <c r="I13" s="6"/>
    </row>
    <row r="14" spans="1:9" x14ac:dyDescent="0.2">
      <c r="A14" s="17" t="s">
        <v>22</v>
      </c>
      <c r="B14" s="1">
        <v>8096000</v>
      </c>
      <c r="C14" s="1">
        <v>12889000</v>
      </c>
      <c r="D14" s="1">
        <v>13221000</v>
      </c>
      <c r="E14" s="1">
        <f t="shared" si="0"/>
        <v>26110000</v>
      </c>
      <c r="F14" s="1">
        <f t="shared" si="1"/>
        <v>34206000</v>
      </c>
      <c r="G14" s="1">
        <v>33259000</v>
      </c>
      <c r="I14" s="6"/>
    </row>
    <row r="15" spans="1:9" x14ac:dyDescent="0.2">
      <c r="A15" s="17" t="s">
        <v>23</v>
      </c>
      <c r="B15" s="1">
        <v>6237000</v>
      </c>
      <c r="C15" s="1">
        <v>9516000</v>
      </c>
      <c r="D15" s="1">
        <v>12016000</v>
      </c>
      <c r="E15" s="1">
        <f t="shared" si="0"/>
        <v>21532000</v>
      </c>
      <c r="F15" s="1">
        <f t="shared" si="1"/>
        <v>27769000</v>
      </c>
      <c r="G15" s="1">
        <v>27003000</v>
      </c>
      <c r="I15" s="6"/>
    </row>
    <row r="16" spans="1:9" x14ac:dyDescent="0.2">
      <c r="A16" s="17" t="s">
        <v>24</v>
      </c>
      <c r="B16" s="1">
        <v>6830000</v>
      </c>
      <c r="C16" s="1">
        <v>12197000</v>
      </c>
      <c r="D16" s="1">
        <v>9049000</v>
      </c>
      <c r="E16" s="1">
        <f t="shared" si="0"/>
        <v>21246000</v>
      </c>
      <c r="F16" s="1">
        <f t="shared" si="1"/>
        <v>28076000</v>
      </c>
      <c r="G16" s="1">
        <v>27197000</v>
      </c>
      <c r="I16" s="6"/>
    </row>
    <row r="17" spans="1:9" x14ac:dyDescent="0.2">
      <c r="A17" s="17" t="s">
        <v>25</v>
      </c>
      <c r="B17" s="1">
        <v>5532000</v>
      </c>
      <c r="C17" s="1">
        <v>9925000</v>
      </c>
      <c r="D17" s="1">
        <v>9133000</v>
      </c>
      <c r="E17" s="1">
        <f t="shared" si="0"/>
        <v>19058000</v>
      </c>
      <c r="F17" s="1">
        <f t="shared" si="1"/>
        <v>24590000</v>
      </c>
      <c r="G17" s="1">
        <v>23326000</v>
      </c>
      <c r="I17" s="6"/>
    </row>
    <row r="18" spans="1:9" x14ac:dyDescent="0.2">
      <c r="A18" s="17" t="s">
        <v>26</v>
      </c>
      <c r="B18" s="1">
        <v>5829000</v>
      </c>
      <c r="C18" s="1">
        <v>8201000</v>
      </c>
      <c r="D18" s="1">
        <v>10155000</v>
      </c>
      <c r="E18" s="1">
        <f t="shared" si="0"/>
        <v>18356000</v>
      </c>
      <c r="F18" s="1">
        <f t="shared" si="1"/>
        <v>24185000</v>
      </c>
      <c r="G18" s="1">
        <v>21895000</v>
      </c>
      <c r="I18" s="6"/>
    </row>
    <row r="19" spans="1:9" x14ac:dyDescent="0.2">
      <c r="A19" s="17"/>
      <c r="B19" s="1"/>
      <c r="C19" s="1"/>
      <c r="D19" s="1"/>
      <c r="E19" s="1"/>
      <c r="F19" s="1"/>
      <c r="G19" s="1"/>
      <c r="I19" s="6"/>
    </row>
    <row r="20" spans="1:9" ht="13.5" thickBot="1" x14ac:dyDescent="0.25">
      <c r="A20" s="31" t="s">
        <v>0</v>
      </c>
      <c r="B20" s="3">
        <f t="shared" ref="B20:G20" si="2">SUM(B7:B19)</f>
        <v>65391000</v>
      </c>
      <c r="C20" s="3">
        <f t="shared" si="2"/>
        <v>129083000</v>
      </c>
      <c r="D20" s="3">
        <f t="shared" si="2"/>
        <v>144741000</v>
      </c>
      <c r="E20" s="3">
        <f t="shared" si="2"/>
        <v>273824000</v>
      </c>
      <c r="F20" s="3">
        <f t="shared" si="2"/>
        <v>339215000</v>
      </c>
      <c r="G20" s="3">
        <f t="shared" si="2"/>
        <v>321405000</v>
      </c>
      <c r="H20" s="10"/>
      <c r="I20" s="7"/>
    </row>
    <row r="21" spans="1:9" ht="13.5" thickTop="1" x14ac:dyDescent="0.2">
      <c r="A21" s="30"/>
      <c r="B21" s="1"/>
      <c r="C21" s="1"/>
      <c r="D21" s="1"/>
      <c r="E21" s="1"/>
      <c r="F21" s="1"/>
      <c r="G21" s="1"/>
    </row>
    <row r="22" spans="1:9" ht="13.5" thickBot="1" x14ac:dyDescent="0.25">
      <c r="A22" s="31" t="s">
        <v>28</v>
      </c>
      <c r="B22" s="3"/>
      <c r="C22" s="3"/>
      <c r="D22" s="3">
        <f>B20</f>
        <v>65391000</v>
      </c>
      <c r="E22" s="3"/>
      <c r="F22" s="3"/>
      <c r="G22" s="3"/>
      <c r="H22" s="10"/>
      <c r="I22" s="7"/>
    </row>
    <row r="23" spans="1:9" ht="14.25" thickTop="1" thickBot="1" x14ac:dyDescent="0.25">
      <c r="A23" s="31" t="s">
        <v>27</v>
      </c>
      <c r="B23" s="3"/>
      <c r="C23" s="3"/>
      <c r="D23" s="3">
        <f>C20+D20</f>
        <v>273824000</v>
      </c>
      <c r="E23" s="3"/>
      <c r="F23" s="3"/>
      <c r="G23" s="3"/>
      <c r="H23" s="10"/>
      <c r="I23" s="7"/>
    </row>
    <row r="24" spans="1:9" ht="13.5" thickTop="1" x14ac:dyDescent="0.2">
      <c r="A24" s="30"/>
    </row>
    <row r="25" spans="1:9" x14ac:dyDescent="0.2">
      <c r="A25" s="30"/>
    </row>
    <row r="26" spans="1:9" ht="13.5" thickBot="1" x14ac:dyDescent="0.25">
      <c r="A26" s="32"/>
      <c r="B26" s="2"/>
      <c r="C26" s="2"/>
      <c r="D26" s="2"/>
      <c r="E26" s="2"/>
      <c r="F26" s="2"/>
      <c r="G26" s="2"/>
      <c r="H26" s="25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08A2-43B1-496F-B692-D87BD0A9B1A2}">
  <dimension ref="A1:I26"/>
  <sheetViews>
    <sheetView workbookViewId="0">
      <selection sqref="A1:I26"/>
    </sheetView>
  </sheetViews>
  <sheetFormatPr defaultRowHeight="12.75" x14ac:dyDescent="0.2"/>
  <cols>
    <col min="1" max="1" width="27.85546875" customWidth="1"/>
    <col min="2" max="5" width="13.28515625" customWidth="1"/>
    <col min="6" max="6" width="14.7109375" customWidth="1"/>
    <col min="7" max="7" width="14.42578125" customWidth="1"/>
    <col min="8" max="8" width="17.85546875" customWidth="1"/>
  </cols>
  <sheetData>
    <row r="1" spans="1:9" ht="15" x14ac:dyDescent="0.25">
      <c r="A1" s="21" t="s">
        <v>4</v>
      </c>
      <c r="B1" s="26"/>
      <c r="C1" s="26"/>
      <c r="D1" s="26"/>
      <c r="E1" s="26"/>
      <c r="F1" s="26"/>
      <c r="G1" s="26"/>
      <c r="H1" s="26"/>
      <c r="I1" s="8"/>
    </row>
    <row r="2" spans="1:9" ht="15" x14ac:dyDescent="0.25">
      <c r="A2" s="23" t="s">
        <v>36</v>
      </c>
      <c r="B2" s="27"/>
      <c r="C2" s="27"/>
      <c r="D2" s="27"/>
      <c r="E2" s="27"/>
      <c r="F2" s="27"/>
      <c r="G2" s="27"/>
      <c r="H2" s="27"/>
      <c r="I2" s="8"/>
    </row>
    <row r="3" spans="1:9" ht="15" x14ac:dyDescent="0.25">
      <c r="A3" s="14"/>
      <c r="B3" s="28" t="s">
        <v>5</v>
      </c>
      <c r="C3" s="28" t="s">
        <v>5</v>
      </c>
      <c r="D3" s="28" t="s">
        <v>5</v>
      </c>
      <c r="E3" s="33" t="s">
        <v>33</v>
      </c>
      <c r="F3" s="28" t="s">
        <v>11</v>
      </c>
      <c r="G3" s="28" t="s">
        <v>14</v>
      </c>
      <c r="H3" s="28"/>
      <c r="I3" s="8"/>
    </row>
    <row r="4" spans="1:9" ht="15" x14ac:dyDescent="0.25">
      <c r="A4" s="14"/>
      <c r="B4" s="28" t="s">
        <v>6</v>
      </c>
      <c r="C4" s="28" t="s">
        <v>8</v>
      </c>
      <c r="D4" s="28" t="s">
        <v>8</v>
      </c>
      <c r="E4" s="28" t="s">
        <v>0</v>
      </c>
      <c r="F4" s="28" t="s">
        <v>12</v>
      </c>
      <c r="G4" s="28" t="s">
        <v>12</v>
      </c>
      <c r="H4" s="28"/>
      <c r="I4" s="8"/>
    </row>
    <row r="5" spans="1:9" ht="15" x14ac:dyDescent="0.25">
      <c r="A5" s="15"/>
      <c r="B5" s="29" t="s">
        <v>7</v>
      </c>
      <c r="C5" s="29" t="s">
        <v>9</v>
      </c>
      <c r="D5" s="29" t="s">
        <v>10</v>
      </c>
      <c r="E5" s="29" t="s">
        <v>34</v>
      </c>
      <c r="F5" s="29" t="s">
        <v>13</v>
      </c>
      <c r="G5" s="29" t="s">
        <v>13</v>
      </c>
      <c r="H5" s="29"/>
      <c r="I5" s="9"/>
    </row>
    <row r="6" spans="1:9" x14ac:dyDescent="0.2">
      <c r="A6" s="30" t="s">
        <v>2</v>
      </c>
      <c r="B6" s="1"/>
      <c r="C6" s="1"/>
      <c r="D6" s="1"/>
      <c r="E6" s="1"/>
      <c r="F6" s="1"/>
      <c r="G6" s="1"/>
    </row>
    <row r="7" spans="1:9" x14ac:dyDescent="0.2">
      <c r="A7" s="17" t="s">
        <v>15</v>
      </c>
      <c r="B7" s="1">
        <v>5884000</v>
      </c>
      <c r="C7" s="1">
        <v>8406000</v>
      </c>
      <c r="D7" s="1">
        <v>10127000</v>
      </c>
      <c r="E7" s="1">
        <f>D7+C7</f>
        <v>18533000</v>
      </c>
      <c r="F7" s="1">
        <f>B7+C7+D7</f>
        <v>24417000</v>
      </c>
      <c r="G7" s="1">
        <v>23292000</v>
      </c>
      <c r="I7" s="5"/>
    </row>
    <row r="8" spans="1:9" x14ac:dyDescent="0.2">
      <c r="A8" s="17" t="s">
        <v>16</v>
      </c>
      <c r="B8" s="1">
        <v>5726000</v>
      </c>
      <c r="C8" s="1">
        <v>8761000</v>
      </c>
      <c r="D8" s="1">
        <v>7871000</v>
      </c>
      <c r="E8" s="1">
        <f t="shared" ref="E8:E18" si="0">D8+C8</f>
        <v>16632000</v>
      </c>
      <c r="F8" s="1">
        <f>D8+C8+B8</f>
        <v>22358000</v>
      </c>
      <c r="G8" s="1">
        <v>20924000</v>
      </c>
      <c r="I8" s="6"/>
    </row>
    <row r="9" spans="1:9" x14ac:dyDescent="0.2">
      <c r="A9" s="17" t="s">
        <v>17</v>
      </c>
      <c r="B9" s="1">
        <v>6025000</v>
      </c>
      <c r="C9" s="1">
        <v>8507000</v>
      </c>
      <c r="D9" s="1">
        <v>11042000</v>
      </c>
      <c r="E9" s="1">
        <f t="shared" si="0"/>
        <v>19549000</v>
      </c>
      <c r="F9" s="1">
        <f>D9+C9+B9</f>
        <v>25574000</v>
      </c>
      <c r="G9" s="1">
        <v>24007000</v>
      </c>
      <c r="I9" s="6"/>
    </row>
    <row r="10" spans="1:9" x14ac:dyDescent="0.2">
      <c r="A10" s="17" t="s">
        <v>18</v>
      </c>
      <c r="B10" s="1">
        <v>6522000</v>
      </c>
      <c r="C10" s="1">
        <v>9198000</v>
      </c>
      <c r="D10" s="1">
        <v>9977000</v>
      </c>
      <c r="E10" s="1">
        <f t="shared" si="0"/>
        <v>19175000</v>
      </c>
      <c r="F10" s="1">
        <f>B10+C10+D10</f>
        <v>25697000</v>
      </c>
      <c r="G10" s="1">
        <v>24279000</v>
      </c>
      <c r="I10" s="6"/>
    </row>
    <row r="11" spans="1:9" x14ac:dyDescent="0.2">
      <c r="A11" s="17" t="s">
        <v>19</v>
      </c>
      <c r="B11" s="1">
        <v>7563000</v>
      </c>
      <c r="C11" s="1">
        <v>10315000</v>
      </c>
      <c r="D11" s="1">
        <v>11568000</v>
      </c>
      <c r="E11" s="1">
        <f t="shared" si="0"/>
        <v>21883000</v>
      </c>
      <c r="F11" s="1">
        <f t="shared" ref="F11:F18" si="1">B11+C11+D11</f>
        <v>29446000</v>
      </c>
      <c r="G11" s="1">
        <v>27996000</v>
      </c>
      <c r="I11" s="6"/>
    </row>
    <row r="12" spans="1:9" x14ac:dyDescent="0.2">
      <c r="A12" s="17" t="s">
        <v>20</v>
      </c>
      <c r="B12" s="1">
        <v>6798000</v>
      </c>
      <c r="C12" s="1">
        <v>8445000</v>
      </c>
      <c r="D12" s="1">
        <v>12630000</v>
      </c>
      <c r="E12" s="1">
        <f t="shared" si="0"/>
        <v>21075000</v>
      </c>
      <c r="F12" s="1">
        <f t="shared" si="1"/>
        <v>27873000</v>
      </c>
      <c r="G12" s="1">
        <v>25817000</v>
      </c>
      <c r="I12" s="6"/>
    </row>
    <row r="13" spans="1:9" x14ac:dyDescent="0.2">
      <c r="A13" s="17" t="s">
        <v>21</v>
      </c>
      <c r="B13" s="1">
        <v>7409000</v>
      </c>
      <c r="C13" s="1">
        <v>9654000</v>
      </c>
      <c r="D13" s="1">
        <v>13847000</v>
      </c>
      <c r="E13" s="1">
        <f t="shared" si="0"/>
        <v>23501000</v>
      </c>
      <c r="F13" s="1">
        <f t="shared" si="1"/>
        <v>30910000</v>
      </c>
      <c r="G13" s="1">
        <v>28354000</v>
      </c>
      <c r="I13" s="6"/>
    </row>
    <row r="14" spans="1:9" x14ac:dyDescent="0.2">
      <c r="A14" s="17" t="s">
        <v>22</v>
      </c>
      <c r="B14" s="1">
        <v>7717000</v>
      </c>
      <c r="C14" s="1">
        <v>10283000</v>
      </c>
      <c r="D14" s="1">
        <v>12153000</v>
      </c>
      <c r="E14" s="1">
        <f t="shared" si="0"/>
        <v>22436000</v>
      </c>
      <c r="F14" s="1">
        <f t="shared" si="1"/>
        <v>30153000</v>
      </c>
      <c r="G14" s="1">
        <v>28579000</v>
      </c>
      <c r="I14" s="6"/>
    </row>
    <row r="15" spans="1:9" x14ac:dyDescent="0.2">
      <c r="A15" s="17" t="s">
        <v>23</v>
      </c>
      <c r="B15" s="1">
        <v>7589000</v>
      </c>
      <c r="C15" s="1">
        <v>10469000</v>
      </c>
      <c r="D15" s="1">
        <v>10978000</v>
      </c>
      <c r="E15" s="1">
        <f t="shared" si="0"/>
        <v>21447000</v>
      </c>
      <c r="F15" s="1">
        <f t="shared" si="1"/>
        <v>29036000</v>
      </c>
      <c r="G15" s="1">
        <v>27045000</v>
      </c>
      <c r="I15" s="6"/>
    </row>
    <row r="16" spans="1:9" x14ac:dyDescent="0.2">
      <c r="A16" s="17" t="s">
        <v>24</v>
      </c>
      <c r="B16" s="1">
        <v>6972000</v>
      </c>
      <c r="C16" s="1">
        <v>7937000</v>
      </c>
      <c r="D16" s="1">
        <v>12638000</v>
      </c>
      <c r="E16" s="1">
        <f t="shared" si="0"/>
        <v>20575000</v>
      </c>
      <c r="F16" s="1">
        <f t="shared" si="1"/>
        <v>27547000</v>
      </c>
      <c r="G16" s="1">
        <v>25732000</v>
      </c>
      <c r="I16" s="6"/>
    </row>
    <row r="17" spans="1:9" x14ac:dyDescent="0.2">
      <c r="A17" s="17" t="s">
        <v>25</v>
      </c>
      <c r="B17" s="1">
        <v>6535000</v>
      </c>
      <c r="C17" s="1">
        <v>7601000</v>
      </c>
      <c r="D17" s="1">
        <v>10718000</v>
      </c>
      <c r="E17" s="1">
        <f t="shared" si="0"/>
        <v>18319000</v>
      </c>
      <c r="F17" s="1">
        <f t="shared" si="1"/>
        <v>24854000</v>
      </c>
      <c r="G17" s="1">
        <v>23109000</v>
      </c>
      <c r="I17" s="6"/>
    </row>
    <row r="18" spans="1:9" x14ac:dyDescent="0.2">
      <c r="A18" s="17" t="s">
        <v>26</v>
      </c>
      <c r="B18" s="1">
        <v>6057000</v>
      </c>
      <c r="C18" s="1">
        <v>8491000</v>
      </c>
      <c r="D18" s="1">
        <v>10876000</v>
      </c>
      <c r="E18" s="1">
        <f t="shared" si="0"/>
        <v>19367000</v>
      </c>
      <c r="F18" s="1">
        <f t="shared" si="1"/>
        <v>25424000</v>
      </c>
      <c r="G18" s="1">
        <v>23579000</v>
      </c>
      <c r="I18" s="6"/>
    </row>
    <row r="19" spans="1:9" x14ac:dyDescent="0.2">
      <c r="A19" s="17"/>
      <c r="B19" s="1"/>
      <c r="C19" s="1"/>
      <c r="D19" s="1"/>
      <c r="E19" s="1"/>
      <c r="F19" s="1"/>
      <c r="G19" s="1"/>
      <c r="I19" s="6"/>
    </row>
    <row r="20" spans="1:9" ht="13.5" thickBot="1" x14ac:dyDescent="0.25">
      <c r="A20" s="31" t="s">
        <v>0</v>
      </c>
      <c r="B20" s="3">
        <f t="shared" ref="B20:G20" si="2">SUM(B7:B19)</f>
        <v>80797000</v>
      </c>
      <c r="C20" s="3">
        <f t="shared" si="2"/>
        <v>108067000</v>
      </c>
      <c r="D20" s="3">
        <f t="shared" si="2"/>
        <v>134425000</v>
      </c>
      <c r="E20" s="3">
        <f t="shared" si="2"/>
        <v>242492000</v>
      </c>
      <c r="F20" s="3">
        <f t="shared" si="2"/>
        <v>323289000</v>
      </c>
      <c r="G20" s="3">
        <f t="shared" si="2"/>
        <v>302713000</v>
      </c>
      <c r="H20" s="10"/>
      <c r="I20" s="7"/>
    </row>
    <row r="21" spans="1:9" ht="13.5" thickTop="1" x14ac:dyDescent="0.2">
      <c r="A21" s="30"/>
      <c r="B21" s="1"/>
      <c r="C21" s="1"/>
      <c r="D21" s="1"/>
      <c r="E21" s="1"/>
      <c r="F21" s="1"/>
      <c r="G21" s="1"/>
    </row>
    <row r="22" spans="1:9" ht="13.5" thickBot="1" x14ac:dyDescent="0.25">
      <c r="A22" s="31" t="s">
        <v>28</v>
      </c>
      <c r="B22" s="3"/>
      <c r="C22" s="3"/>
      <c r="D22" s="3">
        <f>B20</f>
        <v>80797000</v>
      </c>
      <c r="E22" s="3"/>
      <c r="F22" s="3"/>
      <c r="G22" s="3"/>
      <c r="H22" s="10"/>
      <c r="I22" s="7"/>
    </row>
    <row r="23" spans="1:9" ht="14.25" thickTop="1" thickBot="1" x14ac:dyDescent="0.25">
      <c r="A23" s="31" t="s">
        <v>27</v>
      </c>
      <c r="B23" s="3"/>
      <c r="C23" s="3"/>
      <c r="D23" s="3">
        <f>C20+D20</f>
        <v>242492000</v>
      </c>
      <c r="E23" s="3"/>
      <c r="F23" s="3"/>
      <c r="G23" s="3"/>
      <c r="H23" s="10"/>
      <c r="I23" s="7"/>
    </row>
    <row r="24" spans="1:9" ht="13.5" thickTop="1" x14ac:dyDescent="0.2">
      <c r="A24" s="30"/>
    </row>
    <row r="25" spans="1:9" x14ac:dyDescent="0.2">
      <c r="A25" s="30"/>
    </row>
    <row r="26" spans="1:9" ht="13.5" thickBot="1" x14ac:dyDescent="0.25">
      <c r="A26" s="32"/>
      <c r="B26" s="2"/>
      <c r="C26" s="2"/>
      <c r="D26" s="2"/>
      <c r="E26" s="2"/>
      <c r="F26" s="2"/>
      <c r="G26" s="2"/>
      <c r="H26" s="25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228A-B0FD-455E-9E2E-B05BF9F13EF0}">
  <dimension ref="A1:I26"/>
  <sheetViews>
    <sheetView workbookViewId="0">
      <selection activeCell="M28" sqref="M28"/>
    </sheetView>
  </sheetViews>
  <sheetFormatPr defaultRowHeight="12.75" x14ac:dyDescent="0.2"/>
  <cols>
    <col min="1" max="4" width="13.28515625" customWidth="1"/>
    <col min="5" max="5" width="14.7109375" customWidth="1"/>
    <col min="6" max="6" width="14.42578125" customWidth="1"/>
    <col min="7" max="7" width="17.85546875" customWidth="1"/>
  </cols>
  <sheetData>
    <row r="1" spans="1:9" ht="15" x14ac:dyDescent="0.25">
      <c r="B1" s="21" t="s">
        <v>4</v>
      </c>
      <c r="C1" s="26"/>
      <c r="D1" s="26"/>
      <c r="E1" s="26"/>
      <c r="F1" s="26"/>
      <c r="G1" s="26"/>
      <c r="H1" s="26"/>
      <c r="I1" s="26"/>
    </row>
    <row r="2" spans="1:9" ht="15" x14ac:dyDescent="0.25">
      <c r="B2" s="23" t="s">
        <v>37</v>
      </c>
      <c r="C2" s="27"/>
      <c r="D2" s="27"/>
      <c r="E2" s="27"/>
      <c r="F2" s="27"/>
      <c r="G2" s="27"/>
      <c r="H2" s="27"/>
      <c r="I2" s="27"/>
    </row>
    <row r="3" spans="1:9" ht="15" x14ac:dyDescent="0.25">
      <c r="A3" s="14"/>
      <c r="B3" s="28" t="s">
        <v>5</v>
      </c>
      <c r="C3" s="28" t="s">
        <v>5</v>
      </c>
      <c r="D3" s="28" t="s">
        <v>5</v>
      </c>
      <c r="E3" s="33" t="s">
        <v>33</v>
      </c>
      <c r="F3" s="28" t="s">
        <v>11</v>
      </c>
      <c r="G3" s="28" t="s">
        <v>14</v>
      </c>
      <c r="H3" s="28"/>
      <c r="I3" s="8"/>
    </row>
    <row r="4" spans="1:9" ht="15" x14ac:dyDescent="0.25">
      <c r="A4" s="14"/>
      <c r="B4" s="28" t="s">
        <v>6</v>
      </c>
      <c r="C4" s="28" t="s">
        <v>8</v>
      </c>
      <c r="D4" s="28" t="s">
        <v>8</v>
      </c>
      <c r="E4" s="28" t="s">
        <v>0</v>
      </c>
      <c r="F4" s="28" t="s">
        <v>12</v>
      </c>
      <c r="G4" s="28" t="s">
        <v>12</v>
      </c>
      <c r="H4" s="28"/>
      <c r="I4" s="8"/>
    </row>
    <row r="5" spans="1:9" ht="15" x14ac:dyDescent="0.25">
      <c r="A5" s="15"/>
      <c r="B5" s="29" t="s">
        <v>7</v>
      </c>
      <c r="C5" s="29" t="s">
        <v>9</v>
      </c>
      <c r="D5" s="29" t="s">
        <v>10</v>
      </c>
      <c r="E5" s="29" t="s">
        <v>34</v>
      </c>
      <c r="F5" s="29" t="s">
        <v>13</v>
      </c>
      <c r="G5" s="29" t="s">
        <v>13</v>
      </c>
      <c r="H5" s="29"/>
      <c r="I5" s="9"/>
    </row>
    <row r="6" spans="1:9" x14ac:dyDescent="0.2">
      <c r="A6" s="30" t="s">
        <v>2</v>
      </c>
      <c r="B6" s="1"/>
      <c r="C6" s="1"/>
      <c r="D6" s="1"/>
      <c r="E6" s="1"/>
      <c r="F6" s="1"/>
      <c r="G6" s="1"/>
    </row>
    <row r="7" spans="1:9" x14ac:dyDescent="0.2">
      <c r="A7" s="17" t="s">
        <v>15</v>
      </c>
      <c r="B7" s="1">
        <v>6649000</v>
      </c>
      <c r="C7" s="1">
        <v>7979000</v>
      </c>
      <c r="D7" s="1">
        <v>11187000</v>
      </c>
      <c r="E7" s="1">
        <f>D7+C7</f>
        <v>19166000</v>
      </c>
      <c r="F7" s="1">
        <f>B7+C7+D7</f>
        <v>25815000</v>
      </c>
      <c r="G7" s="1">
        <v>23146000</v>
      </c>
      <c r="I7" s="5"/>
    </row>
    <row r="8" spans="1:9" x14ac:dyDescent="0.2">
      <c r="A8" s="17" t="s">
        <v>16</v>
      </c>
      <c r="B8" s="1">
        <v>8302000</v>
      </c>
      <c r="C8" s="1">
        <v>12974000</v>
      </c>
      <c r="D8" s="1">
        <v>1995000</v>
      </c>
      <c r="E8" s="1">
        <f t="shared" ref="E8:E18" si="0">D8+C8</f>
        <v>14969000</v>
      </c>
      <c r="F8" s="1">
        <f>D8+C8+B8</f>
        <v>23271000</v>
      </c>
      <c r="G8" s="1">
        <v>21094000</v>
      </c>
      <c r="I8" s="6"/>
    </row>
    <row r="9" spans="1:9" x14ac:dyDescent="0.2">
      <c r="A9" s="17" t="s">
        <v>17</v>
      </c>
      <c r="B9" s="1">
        <v>6993000</v>
      </c>
      <c r="C9" s="1">
        <v>8274000</v>
      </c>
      <c r="D9" s="1">
        <v>9788000</v>
      </c>
      <c r="E9" s="1">
        <f t="shared" si="0"/>
        <v>18062000</v>
      </c>
      <c r="F9" s="1">
        <f>D9+C9+B9</f>
        <v>25055000</v>
      </c>
      <c r="G9" s="1">
        <v>22897000</v>
      </c>
      <c r="I9" s="6"/>
    </row>
    <row r="10" spans="1:9" x14ac:dyDescent="0.2">
      <c r="A10" s="17" t="s">
        <v>18</v>
      </c>
      <c r="B10" s="1">
        <v>6914000</v>
      </c>
      <c r="C10" s="1">
        <v>7334000</v>
      </c>
      <c r="D10" s="1">
        <v>11565000</v>
      </c>
      <c r="E10" s="1">
        <f t="shared" si="0"/>
        <v>18899000</v>
      </c>
      <c r="F10" s="1">
        <f>B10+C10+D10</f>
        <v>25813000</v>
      </c>
      <c r="G10" s="1">
        <v>23231000</v>
      </c>
      <c r="I10" s="6"/>
    </row>
    <row r="11" spans="1:9" x14ac:dyDescent="0.2">
      <c r="A11" s="17" t="s">
        <v>19</v>
      </c>
      <c r="B11" s="1">
        <v>8548000</v>
      </c>
      <c r="C11" s="1">
        <v>7705000</v>
      </c>
      <c r="D11" s="1">
        <v>13488000</v>
      </c>
      <c r="E11" s="1">
        <f t="shared" si="0"/>
        <v>21193000</v>
      </c>
      <c r="F11" s="1">
        <f t="shared" ref="F11:F18" si="1">B11+C11+D11</f>
        <v>29741000</v>
      </c>
      <c r="G11" s="1">
        <v>25870000</v>
      </c>
      <c r="I11" s="6"/>
    </row>
    <row r="12" spans="1:9" x14ac:dyDescent="0.2">
      <c r="A12" s="17" t="s">
        <v>20</v>
      </c>
      <c r="B12" s="1">
        <v>8568000</v>
      </c>
      <c r="C12" s="1">
        <v>8761000</v>
      </c>
      <c r="D12" s="1">
        <v>11912000</v>
      </c>
      <c r="E12" s="1">
        <f t="shared" si="0"/>
        <v>20673000</v>
      </c>
      <c r="F12" s="1">
        <f t="shared" si="1"/>
        <v>29241000</v>
      </c>
      <c r="G12" s="1">
        <v>26682000</v>
      </c>
      <c r="I12" s="6"/>
    </row>
    <row r="13" spans="1:9" x14ac:dyDescent="0.2">
      <c r="A13" s="17" t="s">
        <v>21</v>
      </c>
      <c r="B13" s="1">
        <v>11400000</v>
      </c>
      <c r="C13" s="1">
        <v>15418000</v>
      </c>
      <c r="D13" s="1">
        <v>6235000</v>
      </c>
      <c r="E13" s="1">
        <f t="shared" si="0"/>
        <v>21653000</v>
      </c>
      <c r="F13" s="1">
        <f t="shared" si="1"/>
        <v>33053000</v>
      </c>
      <c r="G13" s="1">
        <v>30297000</v>
      </c>
      <c r="I13" s="6"/>
    </row>
    <row r="14" spans="1:9" x14ac:dyDescent="0.2">
      <c r="A14" s="17" t="s">
        <v>22</v>
      </c>
      <c r="B14" s="1">
        <v>12276000</v>
      </c>
      <c r="C14" s="1">
        <v>19881000</v>
      </c>
      <c r="D14" s="1">
        <v>0</v>
      </c>
      <c r="E14" s="1">
        <f t="shared" si="0"/>
        <v>19881000</v>
      </c>
      <c r="F14" s="1">
        <f t="shared" si="1"/>
        <v>32157000</v>
      </c>
      <c r="G14" s="1">
        <v>29961000</v>
      </c>
      <c r="I14" s="6"/>
    </row>
    <row r="15" spans="1:9" x14ac:dyDescent="0.2">
      <c r="A15" s="17" t="s">
        <v>23</v>
      </c>
      <c r="B15" s="1">
        <v>10471000</v>
      </c>
      <c r="C15" s="1">
        <v>16951000</v>
      </c>
      <c r="D15" s="1">
        <v>21000</v>
      </c>
      <c r="E15" s="1">
        <f t="shared" si="0"/>
        <v>16972000</v>
      </c>
      <c r="F15" s="1">
        <f t="shared" si="1"/>
        <v>27443000</v>
      </c>
      <c r="G15" s="1">
        <v>25319000</v>
      </c>
      <c r="I15" s="6"/>
    </row>
    <row r="16" spans="1:9" x14ac:dyDescent="0.2">
      <c r="A16" s="17" t="s">
        <v>24</v>
      </c>
      <c r="B16" s="1">
        <v>10116000</v>
      </c>
      <c r="C16" s="1">
        <v>17353000</v>
      </c>
      <c r="D16" s="1">
        <v>0</v>
      </c>
      <c r="E16" s="1">
        <f t="shared" si="0"/>
        <v>17353000</v>
      </c>
      <c r="F16" s="1">
        <f t="shared" si="1"/>
        <v>27469000</v>
      </c>
      <c r="G16" s="1">
        <v>25855000</v>
      </c>
      <c r="I16" s="6"/>
    </row>
    <row r="17" spans="1:9" x14ac:dyDescent="0.2">
      <c r="A17" s="17" t="s">
        <v>25</v>
      </c>
      <c r="B17" s="1">
        <v>9591000</v>
      </c>
      <c r="C17" s="1">
        <v>14437000</v>
      </c>
      <c r="D17" s="1">
        <v>498000</v>
      </c>
      <c r="E17" s="1">
        <f t="shared" si="0"/>
        <v>14935000</v>
      </c>
      <c r="F17" s="1">
        <f t="shared" si="1"/>
        <v>24526000</v>
      </c>
      <c r="G17" s="1">
        <v>23123000</v>
      </c>
      <c r="I17" s="6"/>
    </row>
    <row r="18" spans="1:9" x14ac:dyDescent="0.2">
      <c r="A18" s="17" t="s">
        <v>26</v>
      </c>
      <c r="B18" s="1">
        <v>5641000</v>
      </c>
      <c r="C18" s="1">
        <v>0</v>
      </c>
      <c r="D18" s="1">
        <v>20446000</v>
      </c>
      <c r="E18" s="1">
        <f t="shared" si="0"/>
        <v>20446000</v>
      </c>
      <c r="F18" s="1">
        <f t="shared" si="1"/>
        <v>26087000</v>
      </c>
      <c r="G18" s="1">
        <v>25847000</v>
      </c>
      <c r="I18" s="6"/>
    </row>
    <row r="19" spans="1:9" x14ac:dyDescent="0.2">
      <c r="A19" s="17"/>
      <c r="B19" s="1"/>
      <c r="C19" s="1"/>
      <c r="D19" s="1"/>
      <c r="E19" s="1"/>
      <c r="F19" s="1"/>
      <c r="G19" s="1"/>
      <c r="I19" s="6"/>
    </row>
    <row r="20" spans="1:9" ht="13.5" thickBot="1" x14ac:dyDescent="0.25">
      <c r="A20" s="31" t="s">
        <v>0</v>
      </c>
      <c r="B20" s="3">
        <f t="shared" ref="B20:G20" si="2">SUM(B7:B19)</f>
        <v>105469000</v>
      </c>
      <c r="C20" s="3">
        <f t="shared" si="2"/>
        <v>137067000</v>
      </c>
      <c r="D20" s="3">
        <f t="shared" si="2"/>
        <v>87135000</v>
      </c>
      <c r="E20" s="3">
        <f t="shared" si="2"/>
        <v>224202000</v>
      </c>
      <c r="F20" s="3">
        <f t="shared" si="2"/>
        <v>329671000</v>
      </c>
      <c r="G20" s="3">
        <f t="shared" si="2"/>
        <v>303322000</v>
      </c>
      <c r="H20" s="10"/>
      <c r="I20" s="7"/>
    </row>
    <row r="21" spans="1:9" ht="13.5" thickTop="1" x14ac:dyDescent="0.2">
      <c r="A21" s="30"/>
      <c r="B21" s="1"/>
      <c r="C21" s="1"/>
      <c r="D21" s="1"/>
      <c r="E21" s="1"/>
      <c r="F21" s="1"/>
      <c r="G21" s="1"/>
    </row>
    <row r="22" spans="1:9" ht="13.5" thickBot="1" x14ac:dyDescent="0.25">
      <c r="A22" s="31" t="s">
        <v>28</v>
      </c>
      <c r="B22" s="3"/>
      <c r="C22" s="3"/>
      <c r="D22" s="3">
        <f>B20</f>
        <v>105469000</v>
      </c>
      <c r="E22" s="3"/>
      <c r="F22" s="3"/>
      <c r="G22" s="3"/>
      <c r="H22" s="10"/>
      <c r="I22" s="7"/>
    </row>
    <row r="23" spans="1:9" ht="14.25" thickTop="1" thickBot="1" x14ac:dyDescent="0.25">
      <c r="A23" s="31" t="s">
        <v>27</v>
      </c>
      <c r="B23" s="3"/>
      <c r="C23" s="3"/>
      <c r="D23" s="3">
        <f>C20+D20</f>
        <v>224202000</v>
      </c>
      <c r="E23" s="3"/>
      <c r="F23" s="3"/>
      <c r="G23" s="3"/>
      <c r="H23" s="10"/>
      <c r="I23" s="7"/>
    </row>
    <row r="24" spans="1:9" ht="13.5" thickTop="1" x14ac:dyDescent="0.2">
      <c r="A24" s="30"/>
    </row>
    <row r="25" spans="1:9" x14ac:dyDescent="0.2">
      <c r="A25" s="30"/>
    </row>
    <row r="26" spans="1:9" ht="13.5" thickBot="1" x14ac:dyDescent="0.25">
      <c r="A26" s="32"/>
      <c r="B26" s="2"/>
      <c r="C26" s="2"/>
      <c r="D26" s="2"/>
      <c r="E26" s="2"/>
      <c r="F26" s="2"/>
      <c r="G26" s="2"/>
      <c r="H26" s="25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FE92-6EB9-44CE-8DDC-A88AD80B8867}">
  <dimension ref="A1:I24"/>
  <sheetViews>
    <sheetView workbookViewId="0">
      <selection sqref="A1:I23"/>
    </sheetView>
  </sheetViews>
  <sheetFormatPr defaultRowHeight="12.75" x14ac:dyDescent="0.2"/>
  <cols>
    <col min="1" max="1" width="27.85546875" customWidth="1"/>
    <col min="2" max="5" width="13.28515625" customWidth="1"/>
    <col min="6" max="6" width="14.7109375" customWidth="1"/>
    <col min="7" max="7" width="14.42578125" customWidth="1"/>
    <col min="8" max="8" width="17.85546875" customWidth="1"/>
  </cols>
  <sheetData>
    <row r="1" spans="1:9" ht="15" x14ac:dyDescent="0.25">
      <c r="A1" s="21" t="s">
        <v>4</v>
      </c>
      <c r="B1" s="26"/>
      <c r="C1" s="26"/>
      <c r="D1" s="26"/>
      <c r="E1" s="26"/>
      <c r="F1" s="26"/>
      <c r="G1" s="26"/>
      <c r="H1" s="26"/>
      <c r="I1" s="8"/>
    </row>
    <row r="2" spans="1:9" ht="15" x14ac:dyDescent="0.25">
      <c r="A2" s="23" t="s">
        <v>38</v>
      </c>
      <c r="B2" s="27"/>
      <c r="C2" s="27"/>
      <c r="D2" s="27"/>
      <c r="E2" s="27"/>
      <c r="F2" s="27"/>
      <c r="G2" s="27"/>
      <c r="H2" s="27"/>
      <c r="I2" s="8"/>
    </row>
    <row r="3" spans="1:9" ht="15" x14ac:dyDescent="0.25">
      <c r="A3" s="14"/>
      <c r="B3" s="28" t="s">
        <v>5</v>
      </c>
      <c r="C3" s="28" t="s">
        <v>5</v>
      </c>
      <c r="D3" s="28" t="s">
        <v>5</v>
      </c>
      <c r="E3" s="33" t="s">
        <v>33</v>
      </c>
      <c r="F3" s="28" t="s">
        <v>11</v>
      </c>
      <c r="G3" s="28" t="s">
        <v>14</v>
      </c>
      <c r="H3" s="28"/>
      <c r="I3" s="8"/>
    </row>
    <row r="4" spans="1:9" ht="15" x14ac:dyDescent="0.25">
      <c r="A4" s="14"/>
      <c r="B4" s="28" t="s">
        <v>6</v>
      </c>
      <c r="C4" s="28" t="s">
        <v>8</v>
      </c>
      <c r="D4" s="28" t="s">
        <v>8</v>
      </c>
      <c r="E4" s="28" t="s">
        <v>0</v>
      </c>
      <c r="F4" s="28" t="s">
        <v>12</v>
      </c>
      <c r="G4" s="28" t="s">
        <v>12</v>
      </c>
      <c r="H4" s="28"/>
      <c r="I4" s="8"/>
    </row>
    <row r="5" spans="1:9" ht="15" x14ac:dyDescent="0.25">
      <c r="A5" s="15"/>
      <c r="B5" s="29" t="s">
        <v>7</v>
      </c>
      <c r="C5" s="29" t="s">
        <v>9</v>
      </c>
      <c r="D5" s="29" t="s">
        <v>10</v>
      </c>
      <c r="E5" s="29" t="s">
        <v>34</v>
      </c>
      <c r="F5" s="29" t="s">
        <v>13</v>
      </c>
      <c r="G5" s="29" t="s">
        <v>13</v>
      </c>
      <c r="H5" s="29"/>
      <c r="I5" s="9"/>
    </row>
    <row r="6" spans="1:9" x14ac:dyDescent="0.2">
      <c r="A6" s="30" t="s">
        <v>2</v>
      </c>
      <c r="B6" s="1"/>
      <c r="C6" s="1"/>
      <c r="D6" s="1"/>
      <c r="E6" s="1"/>
      <c r="F6" s="1"/>
      <c r="G6" s="1"/>
    </row>
    <row r="7" spans="1:9" x14ac:dyDescent="0.2">
      <c r="A7" s="17" t="s">
        <v>15</v>
      </c>
      <c r="B7" s="1">
        <v>4652000</v>
      </c>
      <c r="C7" s="1">
        <v>0</v>
      </c>
      <c r="D7" s="1">
        <v>20017000</v>
      </c>
      <c r="E7" s="1">
        <f>D7+C7</f>
        <v>20017000</v>
      </c>
      <c r="F7" s="1">
        <f>B7+C7+D7</f>
        <v>24669000</v>
      </c>
      <c r="G7" s="1">
        <v>23359000</v>
      </c>
      <c r="I7" s="5"/>
    </row>
    <row r="8" spans="1:9" x14ac:dyDescent="0.2">
      <c r="A8" s="17" t="s">
        <v>16</v>
      </c>
      <c r="B8" s="1">
        <v>4656000</v>
      </c>
      <c r="C8" s="1">
        <v>0</v>
      </c>
      <c r="D8" s="1">
        <v>19392000</v>
      </c>
      <c r="E8" s="1">
        <f t="shared" ref="E8:E18" si="0">D8+C8</f>
        <v>19392000</v>
      </c>
      <c r="F8" s="1">
        <f>D8+C8+B8</f>
        <v>24048000</v>
      </c>
      <c r="G8" s="1">
        <v>22278000</v>
      </c>
      <c r="I8" s="6"/>
    </row>
    <row r="9" spans="1:9" x14ac:dyDescent="0.2">
      <c r="A9" s="17" t="s">
        <v>17</v>
      </c>
      <c r="B9" s="1">
        <v>4611000</v>
      </c>
      <c r="C9" s="1">
        <v>0</v>
      </c>
      <c r="D9" s="1">
        <v>18931000</v>
      </c>
      <c r="E9" s="1">
        <f t="shared" si="0"/>
        <v>18931000</v>
      </c>
      <c r="F9" s="1">
        <f>D9+C9+B9</f>
        <v>23542000</v>
      </c>
      <c r="G9" s="1">
        <v>23365000</v>
      </c>
      <c r="I9" s="6"/>
    </row>
    <row r="10" spans="1:9" x14ac:dyDescent="0.2">
      <c r="A10" s="17" t="s">
        <v>18</v>
      </c>
      <c r="B10" s="1">
        <v>4742000</v>
      </c>
      <c r="C10" s="1">
        <v>0</v>
      </c>
      <c r="D10" s="1">
        <v>20536000</v>
      </c>
      <c r="E10" s="1">
        <f t="shared" si="0"/>
        <v>20536000</v>
      </c>
      <c r="F10" s="1">
        <f>B10+C10+D10</f>
        <v>25278000</v>
      </c>
      <c r="G10" s="1">
        <v>23142000</v>
      </c>
      <c r="I10" s="6"/>
    </row>
    <row r="11" spans="1:9" x14ac:dyDescent="0.2">
      <c r="A11" s="17" t="s">
        <v>19</v>
      </c>
      <c r="B11" s="1">
        <v>4941000</v>
      </c>
      <c r="C11" s="1">
        <v>0</v>
      </c>
      <c r="D11" s="1">
        <v>23200000</v>
      </c>
      <c r="E11" s="1">
        <f t="shared" si="0"/>
        <v>23200000</v>
      </c>
      <c r="F11" s="1">
        <f t="shared" ref="F11:F18" si="1">B11+C11+D11</f>
        <v>28141000</v>
      </c>
      <c r="G11" s="1">
        <v>24817000</v>
      </c>
      <c r="I11" s="6"/>
    </row>
    <row r="12" spans="1:9" x14ac:dyDescent="0.2">
      <c r="A12" s="17" t="s">
        <v>20</v>
      </c>
      <c r="B12" s="1">
        <v>6527000</v>
      </c>
      <c r="C12" s="1">
        <v>0</v>
      </c>
      <c r="D12" s="1">
        <v>22555000</v>
      </c>
      <c r="E12" s="1">
        <f t="shared" si="0"/>
        <v>22555000</v>
      </c>
      <c r="F12" s="1">
        <f t="shared" si="1"/>
        <v>29082000</v>
      </c>
      <c r="G12" s="1">
        <v>26761000</v>
      </c>
      <c r="I12" s="6"/>
    </row>
    <row r="13" spans="1:9" x14ac:dyDescent="0.2">
      <c r="A13" s="17" t="s">
        <v>21</v>
      </c>
      <c r="B13" s="1">
        <v>6770000</v>
      </c>
      <c r="C13" s="1">
        <v>0</v>
      </c>
      <c r="D13" s="1">
        <v>25057000</v>
      </c>
      <c r="E13" s="1">
        <f t="shared" si="0"/>
        <v>25057000</v>
      </c>
      <c r="F13" s="1">
        <f t="shared" si="1"/>
        <v>31827000</v>
      </c>
      <c r="G13" s="1">
        <v>29373000</v>
      </c>
      <c r="I13" s="6"/>
    </row>
    <row r="14" spans="1:9" x14ac:dyDescent="0.2">
      <c r="A14" s="17" t="s">
        <v>22</v>
      </c>
      <c r="B14" s="1">
        <v>6844000</v>
      </c>
      <c r="C14" s="1">
        <v>0</v>
      </c>
      <c r="D14" s="1">
        <v>25238000</v>
      </c>
      <c r="E14" s="1">
        <f t="shared" si="0"/>
        <v>25238000</v>
      </c>
      <c r="F14" s="1">
        <f t="shared" si="1"/>
        <v>32082000</v>
      </c>
      <c r="G14" s="1">
        <v>29267000</v>
      </c>
      <c r="I14" s="6"/>
    </row>
    <row r="15" spans="1:9" x14ac:dyDescent="0.2">
      <c r="A15" s="17" t="s">
        <v>23</v>
      </c>
      <c r="B15" s="1">
        <v>7596000</v>
      </c>
      <c r="C15" s="1">
        <v>0</v>
      </c>
      <c r="D15" s="1">
        <v>23101000</v>
      </c>
      <c r="E15" s="1">
        <f t="shared" si="0"/>
        <v>23101000</v>
      </c>
      <c r="F15" s="1">
        <f t="shared" si="1"/>
        <v>30697000</v>
      </c>
      <c r="G15" s="1">
        <v>26905000</v>
      </c>
      <c r="I15" s="6"/>
    </row>
    <row r="16" spans="1:9" x14ac:dyDescent="0.2">
      <c r="A16" s="17" t="s">
        <v>24</v>
      </c>
      <c r="B16" s="1">
        <v>7711000</v>
      </c>
      <c r="C16" s="1">
        <v>0</v>
      </c>
      <c r="D16" s="1">
        <v>22181000</v>
      </c>
      <c r="E16" s="1">
        <f t="shared" si="0"/>
        <v>22181000</v>
      </c>
      <c r="F16" s="1">
        <f t="shared" si="1"/>
        <v>29892000</v>
      </c>
      <c r="G16" s="1">
        <v>27800000</v>
      </c>
      <c r="I16" s="6"/>
    </row>
    <row r="17" spans="1:9" x14ac:dyDescent="0.2">
      <c r="A17" s="17" t="s">
        <v>25</v>
      </c>
      <c r="B17" s="1">
        <v>8159000</v>
      </c>
      <c r="C17" s="1">
        <v>50000</v>
      </c>
      <c r="D17" s="1">
        <v>22865000</v>
      </c>
      <c r="E17" s="1">
        <f t="shared" si="0"/>
        <v>22915000</v>
      </c>
      <c r="F17" s="1">
        <f t="shared" si="1"/>
        <v>31074000</v>
      </c>
      <c r="G17" s="1">
        <v>29347000</v>
      </c>
      <c r="I17" s="6"/>
    </row>
    <row r="18" spans="1:9" x14ac:dyDescent="0.2">
      <c r="A18" s="17" t="s">
        <v>26</v>
      </c>
      <c r="B18" s="1">
        <v>7682000</v>
      </c>
      <c r="C18" s="1">
        <v>20000</v>
      </c>
      <c r="D18" s="1">
        <v>21652000</v>
      </c>
      <c r="E18" s="1">
        <f t="shared" si="0"/>
        <v>21672000</v>
      </c>
      <c r="F18" s="1">
        <f t="shared" si="1"/>
        <v>29354000</v>
      </c>
      <c r="G18" s="1">
        <v>27396000</v>
      </c>
      <c r="I18" s="6"/>
    </row>
    <row r="19" spans="1:9" x14ac:dyDescent="0.2">
      <c r="A19" s="17"/>
      <c r="B19" s="1"/>
      <c r="C19" s="1"/>
      <c r="D19" s="1"/>
      <c r="E19" s="1"/>
      <c r="F19" s="1"/>
      <c r="G19" s="1"/>
      <c r="I19" s="6"/>
    </row>
    <row r="20" spans="1:9" ht="13.5" thickBot="1" x14ac:dyDescent="0.25">
      <c r="A20" s="31" t="s">
        <v>0</v>
      </c>
      <c r="B20" s="3">
        <f t="shared" ref="B20:G20" si="2">SUM(B7:B19)</f>
        <v>74891000</v>
      </c>
      <c r="C20" s="3">
        <f t="shared" si="2"/>
        <v>70000</v>
      </c>
      <c r="D20" s="3">
        <f t="shared" si="2"/>
        <v>264725000</v>
      </c>
      <c r="E20" s="3">
        <f t="shared" si="2"/>
        <v>264795000</v>
      </c>
      <c r="F20" s="3">
        <f t="shared" si="2"/>
        <v>339686000</v>
      </c>
      <c r="G20" s="3">
        <f t="shared" si="2"/>
        <v>313810000</v>
      </c>
      <c r="H20" s="10"/>
      <c r="I20" s="7"/>
    </row>
    <row r="21" spans="1:9" ht="13.5" thickTop="1" x14ac:dyDescent="0.2">
      <c r="A21" s="30"/>
      <c r="B21" s="1"/>
      <c r="C21" s="1"/>
      <c r="D21" s="1"/>
      <c r="E21" s="1"/>
      <c r="F21" s="1"/>
      <c r="G21" s="1"/>
    </row>
    <row r="22" spans="1:9" ht="13.5" thickBot="1" x14ac:dyDescent="0.25">
      <c r="A22" s="31" t="s">
        <v>28</v>
      </c>
      <c r="B22" s="3"/>
      <c r="C22" s="3"/>
      <c r="D22" s="3">
        <f>B20</f>
        <v>74891000</v>
      </c>
      <c r="E22" s="3"/>
      <c r="F22" s="3"/>
      <c r="G22" s="3"/>
      <c r="H22" s="10"/>
      <c r="I22" s="7"/>
    </row>
    <row r="23" spans="1:9" ht="14.25" thickTop="1" thickBot="1" x14ac:dyDescent="0.25">
      <c r="A23" s="31" t="s">
        <v>27</v>
      </c>
      <c r="B23" s="3"/>
      <c r="C23" s="3"/>
      <c r="D23" s="3">
        <f>C20+D20</f>
        <v>264795000</v>
      </c>
      <c r="E23" s="3"/>
      <c r="F23" s="3"/>
      <c r="G23" s="3"/>
      <c r="H23" s="10"/>
      <c r="I23" s="7"/>
    </row>
    <row r="24" spans="1:9" ht="13.5" thickTop="1" x14ac:dyDescent="0.2"/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56DA-3E1D-4FA1-9A3E-B48C68721858}">
  <dimension ref="A1:I24"/>
  <sheetViews>
    <sheetView workbookViewId="0">
      <selection sqref="A1:I23"/>
    </sheetView>
  </sheetViews>
  <sheetFormatPr defaultRowHeight="12.75" x14ac:dyDescent="0.2"/>
  <cols>
    <col min="1" max="1" width="27.85546875" customWidth="1"/>
    <col min="2" max="5" width="13.28515625" customWidth="1"/>
    <col min="6" max="6" width="14.7109375" customWidth="1"/>
    <col min="7" max="7" width="14.42578125" customWidth="1"/>
    <col min="8" max="8" width="17.85546875" customWidth="1"/>
  </cols>
  <sheetData>
    <row r="1" spans="1:9" ht="15" x14ac:dyDescent="0.25">
      <c r="A1" s="21" t="s">
        <v>4</v>
      </c>
      <c r="B1" s="26"/>
      <c r="C1" s="26"/>
      <c r="D1" s="26"/>
      <c r="E1" s="26"/>
      <c r="F1" s="26"/>
      <c r="G1" s="26"/>
      <c r="H1" s="26"/>
      <c r="I1" s="8"/>
    </row>
    <row r="2" spans="1:9" ht="15" x14ac:dyDescent="0.25">
      <c r="A2" s="23" t="s">
        <v>39</v>
      </c>
      <c r="B2" s="27"/>
      <c r="C2" s="27"/>
      <c r="D2" s="27"/>
      <c r="E2" s="27"/>
      <c r="F2" s="27"/>
      <c r="G2" s="27"/>
      <c r="H2" s="27"/>
      <c r="I2" s="8"/>
    </row>
    <row r="3" spans="1:9" ht="15" x14ac:dyDescent="0.25">
      <c r="A3" s="14"/>
      <c r="B3" s="28" t="s">
        <v>5</v>
      </c>
      <c r="C3" s="28" t="s">
        <v>5</v>
      </c>
      <c r="D3" s="28" t="s">
        <v>5</v>
      </c>
      <c r="E3" s="33" t="s">
        <v>33</v>
      </c>
      <c r="F3" s="28" t="s">
        <v>11</v>
      </c>
      <c r="G3" s="28" t="s">
        <v>14</v>
      </c>
      <c r="H3" s="28"/>
      <c r="I3" s="8"/>
    </row>
    <row r="4" spans="1:9" ht="15" x14ac:dyDescent="0.25">
      <c r="A4" s="14"/>
      <c r="B4" s="28" t="s">
        <v>6</v>
      </c>
      <c r="C4" s="28" t="s">
        <v>8</v>
      </c>
      <c r="D4" s="28" t="s">
        <v>8</v>
      </c>
      <c r="E4" s="28" t="s">
        <v>0</v>
      </c>
      <c r="F4" s="28" t="s">
        <v>12</v>
      </c>
      <c r="G4" s="28" t="s">
        <v>12</v>
      </c>
      <c r="H4" s="28"/>
      <c r="I4" s="8"/>
    </row>
    <row r="5" spans="1:9" ht="15" x14ac:dyDescent="0.25">
      <c r="A5" s="15"/>
      <c r="B5" s="29" t="s">
        <v>7</v>
      </c>
      <c r="C5" s="29" t="s">
        <v>9</v>
      </c>
      <c r="D5" s="29" t="s">
        <v>10</v>
      </c>
      <c r="E5" s="29" t="s">
        <v>34</v>
      </c>
      <c r="F5" s="29" t="s">
        <v>13</v>
      </c>
      <c r="G5" s="29" t="s">
        <v>13</v>
      </c>
      <c r="H5" s="29"/>
      <c r="I5" s="9"/>
    </row>
    <row r="6" spans="1:9" x14ac:dyDescent="0.2">
      <c r="A6" s="30" t="s">
        <v>2</v>
      </c>
      <c r="B6" s="1"/>
      <c r="C6" s="1"/>
      <c r="D6" s="1"/>
      <c r="E6" s="1"/>
      <c r="F6" s="1"/>
      <c r="G6" s="1"/>
    </row>
    <row r="7" spans="1:9" x14ac:dyDescent="0.2">
      <c r="A7" s="17" t="s">
        <v>15</v>
      </c>
      <c r="B7" s="1">
        <v>4198000</v>
      </c>
      <c r="C7" s="1">
        <v>3450000</v>
      </c>
      <c r="D7" s="1">
        <v>18144000</v>
      </c>
      <c r="E7" s="1">
        <f>D7+C7</f>
        <v>21594000</v>
      </c>
      <c r="F7" s="1">
        <f>B7+C7+D7</f>
        <v>25792000</v>
      </c>
      <c r="G7" s="1">
        <v>24399000</v>
      </c>
      <c r="I7" s="5"/>
    </row>
    <row r="8" spans="1:9" x14ac:dyDescent="0.2">
      <c r="A8" s="17" t="s">
        <v>16</v>
      </c>
      <c r="B8" s="1">
        <v>4230000</v>
      </c>
      <c r="C8" s="1">
        <v>8550000</v>
      </c>
      <c r="D8" s="1">
        <v>12426000</v>
      </c>
      <c r="E8" s="1">
        <f t="shared" ref="E8:E18" si="0">D8+C8</f>
        <v>20976000</v>
      </c>
      <c r="F8" s="1">
        <f>D8+C8+B8</f>
        <v>25206000</v>
      </c>
      <c r="G8" s="1">
        <v>21917000</v>
      </c>
      <c r="I8" s="6"/>
    </row>
    <row r="9" spans="1:9" x14ac:dyDescent="0.2">
      <c r="A9" s="17" t="s">
        <v>17</v>
      </c>
      <c r="B9" s="1">
        <v>5112000</v>
      </c>
      <c r="C9" s="1">
        <v>11763000</v>
      </c>
      <c r="D9" s="1">
        <v>8667000</v>
      </c>
      <c r="E9" s="1">
        <f t="shared" si="0"/>
        <v>20430000</v>
      </c>
      <c r="F9" s="1">
        <f>D9+C9+B9</f>
        <v>25542000</v>
      </c>
      <c r="G9" s="1">
        <v>24058000</v>
      </c>
      <c r="I9" s="6"/>
    </row>
    <row r="10" spans="1:9" x14ac:dyDescent="0.2">
      <c r="A10" s="17" t="s">
        <v>18</v>
      </c>
      <c r="B10" s="1">
        <v>8056000</v>
      </c>
      <c r="C10" s="1">
        <v>14122000</v>
      </c>
      <c r="D10" s="1">
        <v>2964000</v>
      </c>
      <c r="E10" s="1">
        <f t="shared" si="0"/>
        <v>17086000</v>
      </c>
      <c r="F10" s="1">
        <f>B10+C10+D10</f>
        <v>25142000</v>
      </c>
      <c r="G10" s="1">
        <v>23366000</v>
      </c>
      <c r="I10" s="6"/>
    </row>
    <row r="11" spans="1:9" x14ac:dyDescent="0.2">
      <c r="A11" s="17" t="s">
        <v>19</v>
      </c>
      <c r="B11" s="1">
        <v>6540000</v>
      </c>
      <c r="C11" s="1">
        <v>6808000</v>
      </c>
      <c r="D11" s="1">
        <v>18260000</v>
      </c>
      <c r="E11" s="1">
        <f t="shared" si="0"/>
        <v>25068000</v>
      </c>
      <c r="F11" s="1">
        <f t="shared" ref="F11:F18" si="1">B11+C11+D11</f>
        <v>31608000</v>
      </c>
      <c r="G11" s="1">
        <v>29386000</v>
      </c>
      <c r="I11" s="6"/>
    </row>
    <row r="12" spans="1:9" x14ac:dyDescent="0.2">
      <c r="A12" s="17" t="s">
        <v>20</v>
      </c>
      <c r="B12" s="1">
        <v>8522000</v>
      </c>
      <c r="C12" s="1">
        <v>2474000</v>
      </c>
      <c r="D12" s="1">
        <v>19548000</v>
      </c>
      <c r="E12" s="1">
        <f t="shared" si="0"/>
        <v>22022000</v>
      </c>
      <c r="F12" s="1">
        <f t="shared" si="1"/>
        <v>30544000</v>
      </c>
      <c r="G12" s="1">
        <v>29835000</v>
      </c>
      <c r="I12" s="6"/>
    </row>
    <row r="13" spans="1:9" x14ac:dyDescent="0.2">
      <c r="A13" s="17" t="s">
        <v>21</v>
      </c>
      <c r="B13" s="1">
        <v>11634000</v>
      </c>
      <c r="C13" s="1">
        <v>17031000</v>
      </c>
      <c r="D13" s="1">
        <v>8956000</v>
      </c>
      <c r="E13" s="1">
        <f t="shared" si="0"/>
        <v>25987000</v>
      </c>
      <c r="F13" s="1">
        <f t="shared" si="1"/>
        <v>37621000</v>
      </c>
      <c r="G13" s="1">
        <v>35928000</v>
      </c>
      <c r="I13" s="6"/>
    </row>
    <row r="14" spans="1:9" x14ac:dyDescent="0.2">
      <c r="A14" s="17" t="s">
        <v>22</v>
      </c>
      <c r="B14" s="1">
        <v>10912000</v>
      </c>
      <c r="C14" s="1">
        <v>21287000</v>
      </c>
      <c r="D14" s="1">
        <v>1484000</v>
      </c>
      <c r="E14" s="1">
        <f t="shared" si="0"/>
        <v>22771000</v>
      </c>
      <c r="F14" s="1">
        <f t="shared" si="1"/>
        <v>33683000</v>
      </c>
      <c r="G14" s="1">
        <v>32815000</v>
      </c>
      <c r="I14" s="6"/>
    </row>
    <row r="15" spans="1:9" x14ac:dyDescent="0.2">
      <c r="A15" s="17" t="s">
        <v>23</v>
      </c>
      <c r="B15" s="1">
        <v>9668000</v>
      </c>
      <c r="C15" s="1">
        <v>6680000</v>
      </c>
      <c r="D15" s="1">
        <v>18096000</v>
      </c>
      <c r="E15" s="1">
        <f t="shared" si="0"/>
        <v>24776000</v>
      </c>
      <c r="F15" s="1">
        <f t="shared" si="1"/>
        <v>34444000</v>
      </c>
      <c r="G15" s="1">
        <v>32209000</v>
      </c>
      <c r="I15" s="6"/>
    </row>
    <row r="16" spans="1:9" x14ac:dyDescent="0.2">
      <c r="A16" s="17" t="s">
        <v>24</v>
      </c>
      <c r="B16" s="1">
        <v>8509000</v>
      </c>
      <c r="C16" s="1">
        <v>12022000</v>
      </c>
      <c r="D16" s="1">
        <v>8014000</v>
      </c>
      <c r="E16" s="1">
        <f t="shared" si="0"/>
        <v>20036000</v>
      </c>
      <c r="F16" s="1">
        <f t="shared" si="1"/>
        <v>28545000</v>
      </c>
      <c r="G16" s="1">
        <v>26448000</v>
      </c>
      <c r="I16" s="6"/>
    </row>
    <row r="17" spans="1:9" x14ac:dyDescent="0.2">
      <c r="A17" s="17" t="s">
        <v>25</v>
      </c>
      <c r="B17" s="1">
        <v>4700000</v>
      </c>
      <c r="C17" s="1">
        <v>2909000</v>
      </c>
      <c r="D17" s="1">
        <v>16708000</v>
      </c>
      <c r="E17" s="1">
        <f t="shared" si="0"/>
        <v>19617000</v>
      </c>
      <c r="F17" s="1">
        <f t="shared" si="1"/>
        <v>24317000</v>
      </c>
      <c r="G17" s="1">
        <v>22335000</v>
      </c>
      <c r="I17" s="6"/>
    </row>
    <row r="18" spans="1:9" x14ac:dyDescent="0.2">
      <c r="A18" s="17" t="s">
        <v>26</v>
      </c>
      <c r="B18" s="1">
        <v>7026000</v>
      </c>
      <c r="C18" s="1">
        <v>14966000</v>
      </c>
      <c r="D18" s="1">
        <v>66000</v>
      </c>
      <c r="E18" s="1">
        <f t="shared" si="0"/>
        <v>15032000</v>
      </c>
      <c r="F18" s="1">
        <f t="shared" si="1"/>
        <v>22058000</v>
      </c>
      <c r="G18" s="1">
        <v>20656000</v>
      </c>
      <c r="I18" s="6"/>
    </row>
    <row r="19" spans="1:9" x14ac:dyDescent="0.2">
      <c r="A19" s="17"/>
      <c r="B19" s="1"/>
      <c r="C19" s="1"/>
      <c r="D19" s="1"/>
      <c r="E19" s="1"/>
      <c r="F19" s="1"/>
      <c r="G19" s="1"/>
      <c r="I19" s="6"/>
    </row>
    <row r="20" spans="1:9" ht="13.5" thickBot="1" x14ac:dyDescent="0.25">
      <c r="A20" s="31" t="s">
        <v>0</v>
      </c>
      <c r="B20" s="3">
        <f t="shared" ref="B20:G20" si="2">SUM(B7:B19)</f>
        <v>89107000</v>
      </c>
      <c r="C20" s="3">
        <f t="shared" si="2"/>
        <v>122062000</v>
      </c>
      <c r="D20" s="3">
        <f t="shared" si="2"/>
        <v>133333000</v>
      </c>
      <c r="E20" s="3">
        <f t="shared" si="2"/>
        <v>255395000</v>
      </c>
      <c r="F20" s="3">
        <f t="shared" si="2"/>
        <v>344502000</v>
      </c>
      <c r="G20" s="3">
        <f t="shared" si="2"/>
        <v>323352000</v>
      </c>
      <c r="H20" s="10"/>
      <c r="I20" s="7"/>
    </row>
    <row r="21" spans="1:9" ht="13.5" thickTop="1" x14ac:dyDescent="0.2">
      <c r="A21" s="30"/>
      <c r="B21" s="1"/>
      <c r="C21" s="1"/>
      <c r="D21" s="1"/>
      <c r="E21" s="1"/>
      <c r="F21" s="1"/>
      <c r="G21" s="1"/>
    </row>
    <row r="22" spans="1:9" ht="13.5" thickBot="1" x14ac:dyDescent="0.25">
      <c r="A22" s="31" t="s">
        <v>28</v>
      </c>
      <c r="B22" s="3"/>
      <c r="C22" s="3"/>
      <c r="D22" s="3">
        <f>B20</f>
        <v>89107000</v>
      </c>
      <c r="E22" s="3"/>
      <c r="F22" s="3"/>
      <c r="G22" s="3"/>
      <c r="H22" s="10"/>
      <c r="I22" s="7"/>
    </row>
    <row r="23" spans="1:9" ht="14.25" thickTop="1" thickBot="1" x14ac:dyDescent="0.25">
      <c r="A23" s="31" t="s">
        <v>27</v>
      </c>
      <c r="B23" s="3"/>
      <c r="C23" s="3"/>
      <c r="D23" s="3">
        <f>C20+D20</f>
        <v>255395000</v>
      </c>
      <c r="E23" s="3"/>
      <c r="F23" s="3"/>
      <c r="G23" s="3"/>
      <c r="H23" s="10"/>
      <c r="I23" s="7"/>
    </row>
    <row r="24" spans="1:9" ht="13.5" thickTop="1" x14ac:dyDescent="0.2"/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65581-BF60-4AA1-BC06-BED43E5C8F96}">
  <dimension ref="A1:I26"/>
  <sheetViews>
    <sheetView workbookViewId="0">
      <selection sqref="A1:I26"/>
    </sheetView>
  </sheetViews>
  <sheetFormatPr defaultRowHeight="12.75" x14ac:dyDescent="0.2"/>
  <cols>
    <col min="1" max="1" width="27.85546875" customWidth="1"/>
    <col min="2" max="5" width="13.28515625" customWidth="1"/>
    <col min="6" max="6" width="14.7109375" customWidth="1"/>
    <col min="7" max="7" width="14.42578125" customWidth="1"/>
    <col min="8" max="8" width="17.85546875" customWidth="1"/>
  </cols>
  <sheetData>
    <row r="1" spans="1:9" ht="15" x14ac:dyDescent="0.25">
      <c r="A1" s="21" t="s">
        <v>4</v>
      </c>
      <c r="B1" s="26"/>
      <c r="C1" s="26"/>
      <c r="D1" s="26"/>
      <c r="E1" s="26"/>
      <c r="F1" s="26"/>
      <c r="G1" s="26"/>
      <c r="H1" s="26"/>
      <c r="I1" s="8"/>
    </row>
    <row r="2" spans="1:9" ht="15" x14ac:dyDescent="0.25">
      <c r="A2" s="23" t="s">
        <v>40</v>
      </c>
      <c r="B2" s="27"/>
      <c r="C2" s="27"/>
      <c r="D2" s="27"/>
      <c r="E2" s="27"/>
      <c r="F2" s="27"/>
      <c r="G2" s="27"/>
      <c r="H2" s="27"/>
      <c r="I2" s="8"/>
    </row>
    <row r="3" spans="1:9" ht="15" x14ac:dyDescent="0.25">
      <c r="A3" s="14"/>
      <c r="B3" s="28" t="s">
        <v>5</v>
      </c>
      <c r="C3" s="28" t="s">
        <v>5</v>
      </c>
      <c r="D3" s="28" t="s">
        <v>5</v>
      </c>
      <c r="E3" s="33" t="s">
        <v>33</v>
      </c>
      <c r="F3" s="28" t="s">
        <v>11</v>
      </c>
      <c r="G3" s="28" t="s">
        <v>14</v>
      </c>
      <c r="H3" s="28"/>
      <c r="I3" s="8"/>
    </row>
    <row r="4" spans="1:9" ht="15" x14ac:dyDescent="0.25">
      <c r="A4" s="14"/>
      <c r="B4" s="28" t="s">
        <v>6</v>
      </c>
      <c r="C4" s="28" t="s">
        <v>8</v>
      </c>
      <c r="D4" s="28" t="s">
        <v>8</v>
      </c>
      <c r="E4" s="28" t="s">
        <v>0</v>
      </c>
      <c r="F4" s="28" t="s">
        <v>12</v>
      </c>
      <c r="G4" s="28" t="s">
        <v>12</v>
      </c>
      <c r="H4" s="28"/>
      <c r="I4" s="8"/>
    </row>
    <row r="5" spans="1:9" ht="15" x14ac:dyDescent="0.25">
      <c r="A5" s="15"/>
      <c r="B5" s="29" t="s">
        <v>7</v>
      </c>
      <c r="C5" s="29" t="s">
        <v>9</v>
      </c>
      <c r="D5" s="29" t="s">
        <v>10</v>
      </c>
      <c r="E5" s="29" t="s">
        <v>34</v>
      </c>
      <c r="F5" s="29" t="s">
        <v>13</v>
      </c>
      <c r="G5" s="29" t="s">
        <v>13</v>
      </c>
      <c r="H5" s="29"/>
      <c r="I5" s="9"/>
    </row>
    <row r="6" spans="1:9" x14ac:dyDescent="0.2">
      <c r="A6" s="30" t="s">
        <v>2</v>
      </c>
      <c r="B6" s="1"/>
      <c r="C6" s="1"/>
      <c r="D6" s="1"/>
      <c r="E6" s="1"/>
      <c r="F6" s="1"/>
      <c r="G6" s="1"/>
    </row>
    <row r="7" spans="1:9" x14ac:dyDescent="0.2">
      <c r="A7" s="17" t="s">
        <v>15</v>
      </c>
      <c r="B7" s="1">
        <v>6093000</v>
      </c>
      <c r="C7" s="1">
        <v>3917000</v>
      </c>
      <c r="D7" s="1">
        <v>14097000</v>
      </c>
      <c r="E7" s="1">
        <f>D7+C7</f>
        <v>18014000</v>
      </c>
      <c r="F7" s="1">
        <f>B7+C7+D7</f>
        <v>24107000</v>
      </c>
      <c r="G7" s="1">
        <v>22286000</v>
      </c>
      <c r="I7" s="5"/>
    </row>
    <row r="8" spans="1:9" x14ac:dyDescent="0.2">
      <c r="A8" s="17" t="s">
        <v>16</v>
      </c>
      <c r="B8" s="1">
        <v>5562000</v>
      </c>
      <c r="C8" s="1">
        <v>2266000</v>
      </c>
      <c r="D8" s="1">
        <v>14896000</v>
      </c>
      <c r="E8" s="1">
        <f t="shared" ref="E8:E18" si="0">D8+C8</f>
        <v>17162000</v>
      </c>
      <c r="F8" s="1">
        <f>D8+C8+B8</f>
        <v>22724000</v>
      </c>
      <c r="G8" s="1">
        <v>21642000</v>
      </c>
      <c r="I8" s="6"/>
    </row>
    <row r="9" spans="1:9" x14ac:dyDescent="0.2">
      <c r="A9" s="17" t="s">
        <v>17</v>
      </c>
      <c r="B9" s="1">
        <v>5576000</v>
      </c>
      <c r="C9" s="1">
        <v>17574000</v>
      </c>
      <c r="D9" s="1">
        <v>180000</v>
      </c>
      <c r="E9" s="1">
        <f t="shared" si="0"/>
        <v>17754000</v>
      </c>
      <c r="F9" s="1">
        <f>D9+C9+B9</f>
        <v>23330000</v>
      </c>
      <c r="G9" s="1">
        <v>22745000</v>
      </c>
      <c r="I9" s="6"/>
    </row>
    <row r="10" spans="1:9" x14ac:dyDescent="0.2">
      <c r="A10" s="17" t="s">
        <v>18</v>
      </c>
      <c r="B10" s="1">
        <v>4654000</v>
      </c>
      <c r="C10" s="1">
        <v>4740000</v>
      </c>
      <c r="D10" s="1">
        <v>14170000</v>
      </c>
      <c r="E10" s="1">
        <f t="shared" si="0"/>
        <v>18910000</v>
      </c>
      <c r="F10" s="1">
        <f>B10+C10+D10</f>
        <v>23564000</v>
      </c>
      <c r="G10" s="1">
        <v>22212000</v>
      </c>
      <c r="I10" s="6"/>
    </row>
    <row r="11" spans="1:9" x14ac:dyDescent="0.2">
      <c r="A11" s="17" t="s">
        <v>19</v>
      </c>
      <c r="B11" s="1">
        <v>6801000</v>
      </c>
      <c r="C11" s="1">
        <v>651000</v>
      </c>
      <c r="D11" s="1">
        <v>19897000</v>
      </c>
      <c r="E11" s="1">
        <f t="shared" si="0"/>
        <v>20548000</v>
      </c>
      <c r="F11" s="1">
        <f t="shared" ref="F11:F18" si="1">B11+C11+D11</f>
        <v>27349000</v>
      </c>
      <c r="G11" s="1">
        <v>26662000</v>
      </c>
      <c r="I11" s="6"/>
    </row>
    <row r="12" spans="1:9" x14ac:dyDescent="0.2">
      <c r="A12" s="17" t="s">
        <v>20</v>
      </c>
      <c r="B12" s="1">
        <v>7086000</v>
      </c>
      <c r="C12" s="1">
        <v>6447000</v>
      </c>
      <c r="D12" s="1">
        <v>10887000</v>
      </c>
      <c r="E12" s="1">
        <f t="shared" si="0"/>
        <v>17334000</v>
      </c>
      <c r="F12" s="1">
        <f t="shared" si="1"/>
        <v>24420000</v>
      </c>
      <c r="G12" s="1">
        <v>23963000</v>
      </c>
      <c r="I12" s="6"/>
    </row>
    <row r="13" spans="1:9" x14ac:dyDescent="0.2">
      <c r="A13" s="17" t="s">
        <v>21</v>
      </c>
      <c r="B13" s="1">
        <v>9803000</v>
      </c>
      <c r="C13" s="1">
        <v>10799000</v>
      </c>
      <c r="D13" s="1">
        <v>11435000</v>
      </c>
      <c r="E13" s="1">
        <f t="shared" si="0"/>
        <v>22234000</v>
      </c>
      <c r="F13" s="1">
        <f t="shared" si="1"/>
        <v>32037000</v>
      </c>
      <c r="G13" s="1">
        <v>31060000</v>
      </c>
      <c r="I13" s="6"/>
    </row>
    <row r="14" spans="1:9" x14ac:dyDescent="0.2">
      <c r="A14" s="17" t="s">
        <v>22</v>
      </c>
      <c r="B14" s="1">
        <v>8731000</v>
      </c>
      <c r="C14" s="1">
        <v>14658000</v>
      </c>
      <c r="D14" s="1">
        <v>10300000</v>
      </c>
      <c r="E14" s="1">
        <f t="shared" si="0"/>
        <v>24958000</v>
      </c>
      <c r="F14" s="1">
        <f t="shared" si="1"/>
        <v>33689000</v>
      </c>
      <c r="G14" s="1">
        <v>32206000</v>
      </c>
      <c r="I14" s="6"/>
    </row>
    <row r="15" spans="1:9" x14ac:dyDescent="0.2">
      <c r="A15" s="17" t="s">
        <v>23</v>
      </c>
      <c r="B15" s="1">
        <v>5824000</v>
      </c>
      <c r="C15" s="1">
        <v>4877000</v>
      </c>
      <c r="D15" s="1">
        <v>16103000</v>
      </c>
      <c r="E15" s="1">
        <f t="shared" si="0"/>
        <v>20980000</v>
      </c>
      <c r="F15" s="1">
        <f t="shared" si="1"/>
        <v>26804000</v>
      </c>
      <c r="G15" s="1">
        <v>25591000</v>
      </c>
      <c r="I15" s="6"/>
    </row>
    <row r="16" spans="1:9" x14ac:dyDescent="0.2">
      <c r="A16" s="17" t="s">
        <v>24</v>
      </c>
      <c r="B16" s="1">
        <v>7133000</v>
      </c>
      <c r="C16" s="1">
        <v>17892000</v>
      </c>
      <c r="D16" s="1">
        <v>162000</v>
      </c>
      <c r="E16" s="1">
        <f t="shared" si="0"/>
        <v>18054000</v>
      </c>
      <c r="F16" s="1">
        <f t="shared" si="1"/>
        <v>25187000</v>
      </c>
      <c r="G16" s="1">
        <v>24141000</v>
      </c>
      <c r="I16" s="6"/>
    </row>
    <row r="17" spans="1:9" x14ac:dyDescent="0.2">
      <c r="A17" s="17" t="s">
        <v>25</v>
      </c>
      <c r="B17" s="1">
        <v>5489000</v>
      </c>
      <c r="C17" s="1">
        <v>9787000</v>
      </c>
      <c r="D17" s="1">
        <v>5605000</v>
      </c>
      <c r="E17" s="1">
        <f t="shared" si="0"/>
        <v>15392000</v>
      </c>
      <c r="F17" s="1">
        <f t="shared" si="1"/>
        <v>20881000</v>
      </c>
      <c r="G17" s="1">
        <v>20238000</v>
      </c>
      <c r="I17" s="6"/>
    </row>
    <row r="18" spans="1:9" x14ac:dyDescent="0.2">
      <c r="A18" s="17" t="s">
        <v>26</v>
      </c>
      <c r="B18" s="1">
        <v>4810000</v>
      </c>
      <c r="C18" s="1">
        <v>1933000</v>
      </c>
      <c r="D18" s="1">
        <v>13338000</v>
      </c>
      <c r="E18" s="1">
        <f t="shared" si="0"/>
        <v>15271000</v>
      </c>
      <c r="F18" s="1">
        <f t="shared" si="1"/>
        <v>20081000</v>
      </c>
      <c r="G18" s="1">
        <v>19532000</v>
      </c>
      <c r="I18" s="6"/>
    </row>
    <row r="19" spans="1:9" x14ac:dyDescent="0.2">
      <c r="A19" s="17"/>
      <c r="B19" s="1"/>
      <c r="C19" s="1"/>
      <c r="D19" s="1"/>
      <c r="E19" s="1"/>
      <c r="F19" s="1"/>
      <c r="G19" s="1"/>
      <c r="I19" s="6"/>
    </row>
    <row r="20" spans="1:9" ht="13.5" thickBot="1" x14ac:dyDescent="0.25">
      <c r="A20" s="31" t="s">
        <v>0</v>
      </c>
      <c r="B20" s="3">
        <f t="shared" ref="B20:G20" si="2">SUM(B7:B19)</f>
        <v>77562000</v>
      </c>
      <c r="C20" s="3">
        <f t="shared" si="2"/>
        <v>95541000</v>
      </c>
      <c r="D20" s="3">
        <f t="shared" si="2"/>
        <v>131070000</v>
      </c>
      <c r="E20" s="3">
        <f t="shared" si="2"/>
        <v>226611000</v>
      </c>
      <c r="F20" s="3">
        <f t="shared" si="2"/>
        <v>304173000</v>
      </c>
      <c r="G20" s="3">
        <f t="shared" si="2"/>
        <v>292278000</v>
      </c>
      <c r="H20" s="10"/>
      <c r="I20" s="7"/>
    </row>
    <row r="21" spans="1:9" ht="13.5" thickTop="1" x14ac:dyDescent="0.2">
      <c r="A21" s="30"/>
      <c r="B21" s="1"/>
      <c r="C21" s="1"/>
      <c r="D21" s="1"/>
      <c r="E21" s="1"/>
      <c r="F21" s="1"/>
      <c r="G21" s="1"/>
    </row>
    <row r="22" spans="1:9" ht="13.5" thickBot="1" x14ac:dyDescent="0.25">
      <c r="A22" s="31" t="s">
        <v>28</v>
      </c>
      <c r="B22" s="3"/>
      <c r="C22" s="3"/>
      <c r="D22" s="3">
        <f>B20</f>
        <v>77562000</v>
      </c>
      <c r="E22" s="3"/>
      <c r="F22" s="3"/>
      <c r="G22" s="3"/>
      <c r="H22" s="10"/>
      <c r="I22" s="7"/>
    </row>
    <row r="23" spans="1:9" ht="14.25" thickTop="1" thickBot="1" x14ac:dyDescent="0.25">
      <c r="A23" s="31" t="s">
        <v>27</v>
      </c>
      <c r="B23" s="3"/>
      <c r="C23" s="3"/>
      <c r="D23" s="3">
        <f>C20+D20</f>
        <v>226611000</v>
      </c>
      <c r="E23" s="3"/>
      <c r="F23" s="3"/>
      <c r="G23" s="3"/>
      <c r="H23" s="10"/>
      <c r="I23" s="7"/>
    </row>
    <row r="24" spans="1:9" ht="13.5" thickTop="1" x14ac:dyDescent="0.2">
      <c r="A24" s="30"/>
    </row>
    <row r="25" spans="1:9" x14ac:dyDescent="0.2">
      <c r="A25" s="30"/>
    </row>
    <row r="26" spans="1:9" ht="13.5" thickBot="1" x14ac:dyDescent="0.25">
      <c r="A26" s="32"/>
      <c r="B26" s="2"/>
      <c r="C26" s="2"/>
      <c r="D26" s="2"/>
      <c r="E26" s="2"/>
      <c r="F26" s="2"/>
      <c r="G26" s="2"/>
      <c r="H26" s="25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B1E15-FB50-48E8-BDDD-08A8F5F03732}">
  <dimension ref="A1:I26"/>
  <sheetViews>
    <sheetView workbookViewId="0">
      <selection sqref="A1:I26"/>
    </sheetView>
  </sheetViews>
  <sheetFormatPr defaultRowHeight="12.75" x14ac:dyDescent="0.2"/>
  <cols>
    <col min="1" max="1" width="27.85546875" customWidth="1"/>
    <col min="2" max="5" width="13.28515625" customWidth="1"/>
    <col min="6" max="6" width="14.7109375" customWidth="1"/>
    <col min="7" max="7" width="14.42578125" customWidth="1"/>
    <col min="8" max="8" width="17.85546875" customWidth="1"/>
  </cols>
  <sheetData>
    <row r="1" spans="1:9" ht="15" x14ac:dyDescent="0.25">
      <c r="A1" s="21" t="s">
        <v>4</v>
      </c>
      <c r="B1" s="26"/>
      <c r="C1" s="26"/>
      <c r="D1" s="26"/>
      <c r="E1" s="26"/>
      <c r="F1" s="26"/>
      <c r="G1" s="26"/>
      <c r="H1" s="26"/>
      <c r="I1" s="8"/>
    </row>
    <row r="2" spans="1:9" ht="15" x14ac:dyDescent="0.25">
      <c r="A2" s="23" t="s">
        <v>41</v>
      </c>
      <c r="B2" s="27"/>
      <c r="C2" s="27"/>
      <c r="D2" s="27"/>
      <c r="E2" s="27"/>
      <c r="F2" s="27"/>
      <c r="G2" s="27"/>
      <c r="H2" s="27"/>
      <c r="I2" s="8"/>
    </row>
    <row r="3" spans="1:9" ht="15" x14ac:dyDescent="0.25">
      <c r="A3" s="14"/>
      <c r="B3" s="28" t="s">
        <v>5</v>
      </c>
      <c r="C3" s="28" t="s">
        <v>5</v>
      </c>
      <c r="D3" s="28" t="s">
        <v>5</v>
      </c>
      <c r="E3" s="33" t="s">
        <v>33</v>
      </c>
      <c r="F3" s="28" t="s">
        <v>11</v>
      </c>
      <c r="G3" s="28" t="s">
        <v>14</v>
      </c>
      <c r="H3" s="28"/>
      <c r="I3" s="8"/>
    </row>
    <row r="4" spans="1:9" ht="15" x14ac:dyDescent="0.25">
      <c r="A4" s="14"/>
      <c r="B4" s="28" t="s">
        <v>6</v>
      </c>
      <c r="C4" s="28" t="s">
        <v>8</v>
      </c>
      <c r="D4" s="28" t="s">
        <v>8</v>
      </c>
      <c r="E4" s="28" t="s">
        <v>0</v>
      </c>
      <c r="F4" s="28" t="s">
        <v>12</v>
      </c>
      <c r="G4" s="28" t="s">
        <v>12</v>
      </c>
      <c r="H4" s="28"/>
      <c r="I4" s="8"/>
    </row>
    <row r="5" spans="1:9" ht="15" x14ac:dyDescent="0.25">
      <c r="A5" s="15"/>
      <c r="B5" s="29" t="s">
        <v>7</v>
      </c>
      <c r="C5" s="29" t="s">
        <v>9</v>
      </c>
      <c r="D5" s="29" t="s">
        <v>10</v>
      </c>
      <c r="E5" s="29" t="s">
        <v>34</v>
      </c>
      <c r="F5" s="29" t="s">
        <v>13</v>
      </c>
      <c r="G5" s="29" t="s">
        <v>13</v>
      </c>
      <c r="H5" s="29"/>
      <c r="I5" s="9"/>
    </row>
    <row r="6" spans="1:9" x14ac:dyDescent="0.2">
      <c r="A6" s="30" t="s">
        <v>2</v>
      </c>
      <c r="B6" s="1"/>
      <c r="C6" s="1"/>
      <c r="D6" s="1"/>
      <c r="E6" s="1"/>
      <c r="F6" s="1"/>
      <c r="G6" s="1"/>
    </row>
    <row r="7" spans="1:9" x14ac:dyDescent="0.2">
      <c r="A7" s="17" t="s">
        <v>15</v>
      </c>
      <c r="B7" s="1">
        <v>6776000</v>
      </c>
      <c r="C7" s="1">
        <v>6705000</v>
      </c>
      <c r="D7" s="1">
        <v>8314000</v>
      </c>
      <c r="E7" s="1">
        <f>D7+C7</f>
        <v>15019000</v>
      </c>
      <c r="F7" s="1">
        <f>B7+C7+D7</f>
        <v>21795000</v>
      </c>
      <c r="G7" s="1">
        <v>20900000</v>
      </c>
      <c r="I7" s="5"/>
    </row>
    <row r="8" spans="1:9" x14ac:dyDescent="0.2">
      <c r="A8" s="17" t="s">
        <v>16</v>
      </c>
      <c r="B8" s="1">
        <v>5453000</v>
      </c>
      <c r="C8" s="1">
        <v>9982000</v>
      </c>
      <c r="D8" s="1">
        <v>4341000</v>
      </c>
      <c r="E8" s="1">
        <f t="shared" ref="E8:E18" si="0">D8+C8</f>
        <v>14323000</v>
      </c>
      <c r="F8" s="1">
        <f>D8+C8+B8</f>
        <v>19776000</v>
      </c>
      <c r="G8" s="1">
        <v>19245000</v>
      </c>
      <c r="I8" s="6"/>
    </row>
    <row r="9" spans="1:9" x14ac:dyDescent="0.2">
      <c r="A9" s="17" t="s">
        <v>17</v>
      </c>
      <c r="B9" s="1">
        <v>0</v>
      </c>
      <c r="C9" s="1">
        <v>6422000</v>
      </c>
      <c r="D9" s="1">
        <v>17191000</v>
      </c>
      <c r="E9" s="1">
        <f t="shared" si="0"/>
        <v>23613000</v>
      </c>
      <c r="F9" s="1">
        <f>D9+C9+B9</f>
        <v>23613000</v>
      </c>
      <c r="G9" s="1">
        <v>22660000</v>
      </c>
      <c r="I9" s="6"/>
    </row>
    <row r="10" spans="1:9" x14ac:dyDescent="0.2">
      <c r="A10" s="17" t="s">
        <v>18</v>
      </c>
      <c r="B10" s="1">
        <v>0</v>
      </c>
      <c r="C10" s="1">
        <v>5926000</v>
      </c>
      <c r="D10" s="1">
        <v>16343000</v>
      </c>
      <c r="E10" s="1">
        <f t="shared" si="0"/>
        <v>22269000</v>
      </c>
      <c r="F10" s="1">
        <f>B10+C10+D10</f>
        <v>22269000</v>
      </c>
      <c r="G10" s="1">
        <v>21181000</v>
      </c>
      <c r="I10" s="6"/>
    </row>
    <row r="11" spans="1:9" x14ac:dyDescent="0.2">
      <c r="A11" s="17" t="s">
        <v>19</v>
      </c>
      <c r="B11" s="1">
        <v>2954000</v>
      </c>
      <c r="C11" s="1">
        <v>10655000</v>
      </c>
      <c r="D11" s="1">
        <v>13381000</v>
      </c>
      <c r="E11" s="1">
        <f t="shared" si="0"/>
        <v>24036000</v>
      </c>
      <c r="F11" s="1">
        <f t="shared" ref="F11:F18" si="1">B11+C11+D11</f>
        <v>26990000</v>
      </c>
      <c r="G11" s="1">
        <v>25816000</v>
      </c>
      <c r="I11" s="6"/>
    </row>
    <row r="12" spans="1:9" x14ac:dyDescent="0.2">
      <c r="A12" s="17" t="s">
        <v>20</v>
      </c>
      <c r="B12" s="1">
        <v>7978000</v>
      </c>
      <c r="C12" s="1">
        <v>16115000</v>
      </c>
      <c r="D12" s="1">
        <v>0</v>
      </c>
      <c r="E12" s="1">
        <f t="shared" si="0"/>
        <v>16115000</v>
      </c>
      <c r="F12" s="1">
        <f t="shared" si="1"/>
        <v>24093000</v>
      </c>
      <c r="G12" s="1">
        <v>23390000</v>
      </c>
      <c r="I12" s="6"/>
    </row>
    <row r="13" spans="1:9" x14ac:dyDescent="0.2">
      <c r="A13" s="17" t="s">
        <v>21</v>
      </c>
      <c r="B13" s="1">
        <v>10752000</v>
      </c>
      <c r="C13" s="1">
        <v>20076000</v>
      </c>
      <c r="D13" s="1">
        <v>0</v>
      </c>
      <c r="E13" s="1">
        <f t="shared" si="0"/>
        <v>20076000</v>
      </c>
      <c r="F13" s="1">
        <f t="shared" si="1"/>
        <v>30828000</v>
      </c>
      <c r="G13" s="1">
        <v>29807000</v>
      </c>
      <c r="I13" s="6"/>
    </row>
    <row r="14" spans="1:9" x14ac:dyDescent="0.2">
      <c r="A14" s="17" t="s">
        <v>22</v>
      </c>
      <c r="B14" s="1">
        <v>11292000</v>
      </c>
      <c r="C14" s="1">
        <v>20401000</v>
      </c>
      <c r="D14" s="1">
        <v>0</v>
      </c>
      <c r="E14" s="1">
        <f t="shared" si="0"/>
        <v>20401000</v>
      </c>
      <c r="F14" s="1">
        <f t="shared" si="1"/>
        <v>31693000</v>
      </c>
      <c r="G14" s="1">
        <v>30440000</v>
      </c>
      <c r="I14" s="6"/>
    </row>
    <row r="15" spans="1:9" x14ac:dyDescent="0.2">
      <c r="A15" s="17" t="s">
        <v>23</v>
      </c>
      <c r="B15" s="1">
        <v>8796000</v>
      </c>
      <c r="C15" s="1">
        <v>17234000</v>
      </c>
      <c r="D15" s="1">
        <v>0</v>
      </c>
      <c r="E15" s="1">
        <f t="shared" si="0"/>
        <v>17234000</v>
      </c>
      <c r="F15" s="1">
        <f t="shared" si="1"/>
        <v>26030000</v>
      </c>
      <c r="G15" s="1">
        <v>24889000</v>
      </c>
      <c r="I15" s="6"/>
    </row>
    <row r="16" spans="1:9" x14ac:dyDescent="0.2">
      <c r="A16" s="17" t="s">
        <v>24</v>
      </c>
      <c r="B16" s="1">
        <v>9378000</v>
      </c>
      <c r="C16" s="1">
        <v>18248000</v>
      </c>
      <c r="D16" s="1">
        <v>0</v>
      </c>
      <c r="E16" s="1">
        <f t="shared" si="0"/>
        <v>18248000</v>
      </c>
      <c r="F16" s="1">
        <f t="shared" si="1"/>
        <v>27626000</v>
      </c>
      <c r="G16" s="1">
        <v>26389000</v>
      </c>
      <c r="I16" s="6"/>
    </row>
    <row r="17" spans="1:9" x14ac:dyDescent="0.2">
      <c r="A17" s="17" t="s">
        <v>25</v>
      </c>
      <c r="B17" s="1">
        <v>7673000</v>
      </c>
      <c r="C17" s="1">
        <v>14728000</v>
      </c>
      <c r="D17" s="1">
        <v>0</v>
      </c>
      <c r="E17" s="1">
        <f t="shared" si="0"/>
        <v>14728000</v>
      </c>
      <c r="F17" s="1">
        <f t="shared" si="1"/>
        <v>22401000</v>
      </c>
      <c r="G17" s="1">
        <v>21741000</v>
      </c>
      <c r="I17" s="6"/>
    </row>
    <row r="18" spans="1:9" x14ac:dyDescent="0.2">
      <c r="A18" s="17" t="s">
        <v>26</v>
      </c>
      <c r="B18" s="1">
        <v>6376000</v>
      </c>
      <c r="C18" s="1">
        <v>15541000</v>
      </c>
      <c r="D18" s="1">
        <v>0</v>
      </c>
      <c r="E18" s="1">
        <f t="shared" si="0"/>
        <v>15541000</v>
      </c>
      <c r="F18" s="1">
        <f t="shared" si="1"/>
        <v>21917000</v>
      </c>
      <c r="G18" s="1">
        <v>21080000</v>
      </c>
      <c r="I18" s="6"/>
    </row>
    <row r="19" spans="1:9" x14ac:dyDescent="0.2">
      <c r="A19" s="17"/>
      <c r="B19" s="1"/>
      <c r="C19" s="1"/>
      <c r="D19" s="1"/>
      <c r="E19" s="1"/>
      <c r="F19" s="1"/>
      <c r="G19" s="1"/>
      <c r="I19" s="6"/>
    </row>
    <row r="20" spans="1:9" ht="13.5" thickBot="1" x14ac:dyDescent="0.25">
      <c r="A20" s="31" t="s">
        <v>0</v>
      </c>
      <c r="B20" s="3">
        <f t="shared" ref="B20:G20" si="2">SUM(B7:B19)</f>
        <v>77428000</v>
      </c>
      <c r="C20" s="3">
        <f t="shared" si="2"/>
        <v>162033000</v>
      </c>
      <c r="D20" s="3">
        <f t="shared" si="2"/>
        <v>59570000</v>
      </c>
      <c r="E20" s="3">
        <f t="shared" si="2"/>
        <v>221603000</v>
      </c>
      <c r="F20" s="3">
        <f t="shared" si="2"/>
        <v>299031000</v>
      </c>
      <c r="G20" s="3">
        <f t="shared" si="2"/>
        <v>287538000</v>
      </c>
      <c r="H20" s="10"/>
      <c r="I20" s="7"/>
    </row>
    <row r="21" spans="1:9" ht="13.5" thickTop="1" x14ac:dyDescent="0.2">
      <c r="A21" s="30"/>
      <c r="B21" s="1"/>
      <c r="C21" s="1"/>
      <c r="D21" s="1"/>
      <c r="E21" s="1"/>
      <c r="F21" s="1"/>
      <c r="G21" s="1"/>
    </row>
    <row r="22" spans="1:9" ht="13.5" thickBot="1" x14ac:dyDescent="0.25">
      <c r="A22" s="31" t="s">
        <v>28</v>
      </c>
      <c r="B22" s="3"/>
      <c r="C22" s="3"/>
      <c r="D22" s="3">
        <f>B20</f>
        <v>77428000</v>
      </c>
      <c r="E22" s="3"/>
      <c r="F22" s="3"/>
      <c r="G22" s="3"/>
      <c r="H22" s="10"/>
      <c r="I22" s="7"/>
    </row>
    <row r="23" spans="1:9" ht="14.25" thickTop="1" thickBot="1" x14ac:dyDescent="0.25">
      <c r="A23" s="31" t="s">
        <v>27</v>
      </c>
      <c r="B23" s="3"/>
      <c r="C23" s="3"/>
      <c r="D23" s="3">
        <f>C20+D20</f>
        <v>221603000</v>
      </c>
      <c r="E23" s="3"/>
      <c r="F23" s="3"/>
      <c r="G23" s="3"/>
      <c r="H23" s="10"/>
      <c r="I23" s="7"/>
    </row>
    <row r="24" spans="1:9" ht="13.5" thickTop="1" x14ac:dyDescent="0.2">
      <c r="A24" s="30"/>
    </row>
    <row r="25" spans="1:9" x14ac:dyDescent="0.2">
      <c r="A25" s="30"/>
    </row>
    <row r="26" spans="1:9" ht="13.5" thickBot="1" x14ac:dyDescent="0.25">
      <c r="A26" s="32"/>
      <c r="B26" s="2"/>
      <c r="C26" s="2"/>
      <c r="D26" s="2"/>
      <c r="E26" s="2"/>
      <c r="F26" s="2"/>
      <c r="G26" s="2"/>
      <c r="H26" s="25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2140-BA24-4976-95D5-80A5CFFEAE39}">
  <dimension ref="A1:I26"/>
  <sheetViews>
    <sheetView workbookViewId="0">
      <selection sqref="A1:I26"/>
    </sheetView>
  </sheetViews>
  <sheetFormatPr defaultRowHeight="12.75" x14ac:dyDescent="0.2"/>
  <cols>
    <col min="1" max="1" width="27.85546875" customWidth="1"/>
    <col min="2" max="5" width="13.28515625" customWidth="1"/>
    <col min="6" max="6" width="14.7109375" customWidth="1"/>
    <col min="7" max="7" width="14.42578125" customWidth="1"/>
    <col min="8" max="8" width="17.85546875" customWidth="1"/>
  </cols>
  <sheetData>
    <row r="1" spans="1:9" ht="15" x14ac:dyDescent="0.25">
      <c r="A1" s="21" t="s">
        <v>4</v>
      </c>
      <c r="B1" s="26"/>
      <c r="C1" s="26"/>
      <c r="D1" s="26"/>
      <c r="E1" s="26"/>
      <c r="F1" s="26"/>
      <c r="G1" s="26"/>
      <c r="H1" s="26"/>
      <c r="I1" s="8"/>
    </row>
    <row r="2" spans="1:9" ht="15" x14ac:dyDescent="0.25">
      <c r="A2" s="23" t="s">
        <v>42</v>
      </c>
      <c r="B2" s="27"/>
      <c r="C2" s="27"/>
      <c r="D2" s="27"/>
      <c r="E2" s="27"/>
      <c r="F2" s="27"/>
      <c r="G2" s="27"/>
      <c r="H2" s="27"/>
      <c r="I2" s="8"/>
    </row>
    <row r="3" spans="1:9" ht="15" x14ac:dyDescent="0.25">
      <c r="A3" s="14"/>
      <c r="B3" s="28" t="s">
        <v>5</v>
      </c>
      <c r="C3" s="28" t="s">
        <v>5</v>
      </c>
      <c r="D3" s="28" t="s">
        <v>5</v>
      </c>
      <c r="E3" s="33" t="s">
        <v>33</v>
      </c>
      <c r="F3" s="28" t="s">
        <v>11</v>
      </c>
      <c r="G3" s="28" t="s">
        <v>14</v>
      </c>
      <c r="H3" s="28"/>
      <c r="I3" s="8"/>
    </row>
    <row r="4" spans="1:9" ht="15" x14ac:dyDescent="0.25">
      <c r="A4" s="14"/>
      <c r="B4" s="28" t="s">
        <v>6</v>
      </c>
      <c r="C4" s="28" t="s">
        <v>8</v>
      </c>
      <c r="D4" s="28" t="s">
        <v>8</v>
      </c>
      <c r="E4" s="28" t="s">
        <v>0</v>
      </c>
      <c r="F4" s="28" t="s">
        <v>12</v>
      </c>
      <c r="G4" s="28" t="s">
        <v>12</v>
      </c>
      <c r="H4" s="28"/>
      <c r="I4" s="8"/>
    </row>
    <row r="5" spans="1:9" ht="15" x14ac:dyDescent="0.25">
      <c r="A5" s="15"/>
      <c r="B5" s="29" t="s">
        <v>7</v>
      </c>
      <c r="C5" s="29" t="s">
        <v>9</v>
      </c>
      <c r="D5" s="29" t="s">
        <v>10</v>
      </c>
      <c r="E5" s="29" t="s">
        <v>34</v>
      </c>
      <c r="F5" s="29" t="s">
        <v>13</v>
      </c>
      <c r="G5" s="29" t="s">
        <v>13</v>
      </c>
      <c r="H5" s="29"/>
      <c r="I5" s="9"/>
    </row>
    <row r="6" spans="1:9" x14ac:dyDescent="0.2">
      <c r="A6" s="30" t="s">
        <v>2</v>
      </c>
      <c r="B6" s="1"/>
      <c r="C6" s="1"/>
      <c r="D6" s="1"/>
      <c r="E6" s="1"/>
      <c r="F6" s="1"/>
      <c r="G6" s="1"/>
    </row>
    <row r="7" spans="1:9" x14ac:dyDescent="0.2">
      <c r="A7" s="17" t="s">
        <v>15</v>
      </c>
      <c r="B7" s="1">
        <v>7629000</v>
      </c>
      <c r="C7" s="1">
        <v>16689000</v>
      </c>
      <c r="D7" s="1">
        <v>0</v>
      </c>
      <c r="E7" s="1">
        <f>SUM(C7,D7)</f>
        <v>16689000</v>
      </c>
      <c r="F7" s="1">
        <f>SUM(B7:D7)</f>
        <v>24318000</v>
      </c>
      <c r="G7" s="1">
        <v>22872000</v>
      </c>
      <c r="I7" s="5"/>
    </row>
    <row r="8" spans="1:9" x14ac:dyDescent="0.2">
      <c r="A8" s="17" t="s">
        <v>16</v>
      </c>
      <c r="B8" s="1">
        <v>6555000</v>
      </c>
      <c r="C8" s="1">
        <v>15329000</v>
      </c>
      <c r="D8" s="1">
        <v>0</v>
      </c>
      <c r="E8" s="1">
        <f t="shared" ref="E8:E18" si="0">SUM(C8,D8)</f>
        <v>15329000</v>
      </c>
      <c r="F8" s="1">
        <f t="shared" ref="F8:F18" si="1">SUM(B8:D8)</f>
        <v>21884000</v>
      </c>
      <c r="G8" s="1">
        <v>20709000</v>
      </c>
      <c r="I8" s="6"/>
    </row>
    <row r="9" spans="1:9" x14ac:dyDescent="0.2">
      <c r="A9" s="17" t="s">
        <v>17</v>
      </c>
      <c r="B9" s="1">
        <v>4336000</v>
      </c>
      <c r="C9" s="1">
        <v>6855000</v>
      </c>
      <c r="D9" s="1">
        <v>13378000</v>
      </c>
      <c r="E9" s="1">
        <f t="shared" si="0"/>
        <v>20233000</v>
      </c>
      <c r="F9" s="1">
        <f t="shared" si="1"/>
        <v>24569000</v>
      </c>
      <c r="G9" s="1">
        <v>23450000</v>
      </c>
      <c r="I9" s="6"/>
    </row>
    <row r="10" spans="1:9" x14ac:dyDescent="0.2">
      <c r="A10" s="17" t="s">
        <v>18</v>
      </c>
      <c r="B10" s="1">
        <v>4985000</v>
      </c>
      <c r="C10" s="1">
        <v>7040000</v>
      </c>
      <c r="D10" s="1">
        <v>12578000</v>
      </c>
      <c r="E10" s="1">
        <f t="shared" si="0"/>
        <v>19618000</v>
      </c>
      <c r="F10" s="1">
        <f t="shared" si="1"/>
        <v>24603000</v>
      </c>
      <c r="G10" s="1">
        <v>23101000</v>
      </c>
      <c r="I10" s="6"/>
    </row>
    <row r="11" spans="1:9" x14ac:dyDescent="0.2">
      <c r="A11" s="17" t="s">
        <v>19</v>
      </c>
      <c r="B11" s="1">
        <v>7294000</v>
      </c>
      <c r="C11" s="1">
        <v>4921000</v>
      </c>
      <c r="D11" s="1">
        <v>13650000</v>
      </c>
      <c r="E11" s="1">
        <f t="shared" si="0"/>
        <v>18571000</v>
      </c>
      <c r="F11" s="1">
        <f t="shared" si="1"/>
        <v>25865000</v>
      </c>
      <c r="G11" s="1">
        <v>24496000</v>
      </c>
      <c r="I11" s="6"/>
    </row>
    <row r="12" spans="1:9" x14ac:dyDescent="0.2">
      <c r="A12" s="17" t="s">
        <v>20</v>
      </c>
      <c r="B12" s="1">
        <v>8882000</v>
      </c>
      <c r="C12" s="1">
        <v>5601000</v>
      </c>
      <c r="D12" s="1">
        <v>12217000</v>
      </c>
      <c r="E12" s="1">
        <f t="shared" si="0"/>
        <v>17818000</v>
      </c>
      <c r="F12" s="1">
        <f t="shared" si="1"/>
        <v>26700000</v>
      </c>
      <c r="G12" s="1">
        <v>25063000</v>
      </c>
      <c r="I12" s="6"/>
    </row>
    <row r="13" spans="1:9" x14ac:dyDescent="0.2">
      <c r="A13" s="17" t="s">
        <v>21</v>
      </c>
      <c r="B13" s="1">
        <v>10674000</v>
      </c>
      <c r="C13" s="1">
        <v>18799000</v>
      </c>
      <c r="D13" s="1">
        <v>0</v>
      </c>
      <c r="E13" s="1">
        <f t="shared" si="0"/>
        <v>18799000</v>
      </c>
      <c r="F13" s="1">
        <f t="shared" si="1"/>
        <v>29473000</v>
      </c>
      <c r="G13" s="1">
        <v>29173000</v>
      </c>
      <c r="I13" s="6"/>
    </row>
    <row r="14" spans="1:9" x14ac:dyDescent="0.2">
      <c r="A14" s="17" t="s">
        <v>22</v>
      </c>
      <c r="B14" s="1">
        <v>11657000</v>
      </c>
      <c r="C14" s="1">
        <v>12427000</v>
      </c>
      <c r="D14" s="1">
        <v>8354000</v>
      </c>
      <c r="E14" s="1">
        <f t="shared" si="0"/>
        <v>20781000</v>
      </c>
      <c r="F14" s="1">
        <f t="shared" si="1"/>
        <v>32438000</v>
      </c>
      <c r="G14" s="1">
        <v>31637000</v>
      </c>
      <c r="I14" s="6"/>
    </row>
    <row r="15" spans="1:9" x14ac:dyDescent="0.2">
      <c r="A15" s="17" t="s">
        <v>23</v>
      </c>
      <c r="B15" s="1">
        <v>4555000</v>
      </c>
      <c r="C15" s="1">
        <v>5644000</v>
      </c>
      <c r="D15" s="1">
        <v>13689000</v>
      </c>
      <c r="E15" s="1">
        <f t="shared" si="0"/>
        <v>19333000</v>
      </c>
      <c r="F15" s="1">
        <f t="shared" si="1"/>
        <v>23888000</v>
      </c>
      <c r="G15" s="1">
        <v>23029000</v>
      </c>
      <c r="I15" s="6"/>
    </row>
    <row r="16" spans="1:9" x14ac:dyDescent="0.2">
      <c r="A16" s="17" t="s">
        <v>24</v>
      </c>
      <c r="B16" s="1">
        <v>10002000</v>
      </c>
      <c r="C16" s="1">
        <v>15032000</v>
      </c>
      <c r="D16" s="1">
        <v>3057000</v>
      </c>
      <c r="E16" s="1">
        <f t="shared" si="0"/>
        <v>18089000</v>
      </c>
      <c r="F16" s="1">
        <f t="shared" si="1"/>
        <v>28091000</v>
      </c>
      <c r="G16" s="1">
        <v>27024000</v>
      </c>
      <c r="I16" s="6"/>
    </row>
    <row r="17" spans="1:9" x14ac:dyDescent="0.2">
      <c r="A17" s="17" t="s">
        <v>25</v>
      </c>
      <c r="B17" s="1">
        <v>7400000</v>
      </c>
      <c r="C17" s="1">
        <v>6842000</v>
      </c>
      <c r="D17" s="1">
        <v>7715000</v>
      </c>
      <c r="E17" s="1">
        <f t="shared" si="0"/>
        <v>14557000</v>
      </c>
      <c r="F17" s="1">
        <f t="shared" si="1"/>
        <v>21957000</v>
      </c>
      <c r="G17" s="1">
        <v>20848000</v>
      </c>
      <c r="I17" s="6"/>
    </row>
    <row r="18" spans="1:9" x14ac:dyDescent="0.2">
      <c r="A18" s="17" t="s">
        <v>26</v>
      </c>
      <c r="B18" s="1">
        <v>6567000</v>
      </c>
      <c r="C18" s="1">
        <v>8159000</v>
      </c>
      <c r="D18" s="1">
        <v>9084000</v>
      </c>
      <c r="E18" s="1">
        <f t="shared" si="0"/>
        <v>17243000</v>
      </c>
      <c r="F18" s="1">
        <f t="shared" si="1"/>
        <v>23810000</v>
      </c>
      <c r="G18" s="1">
        <v>20278000</v>
      </c>
      <c r="I18" s="6"/>
    </row>
    <row r="19" spans="1:9" x14ac:dyDescent="0.2">
      <c r="A19" s="17"/>
      <c r="B19" s="1"/>
      <c r="C19" s="1"/>
      <c r="D19" s="1"/>
      <c r="E19" s="1"/>
      <c r="F19" s="1"/>
      <c r="G19" s="1"/>
      <c r="I19" s="6"/>
    </row>
    <row r="20" spans="1:9" ht="13.5" thickBot="1" x14ac:dyDescent="0.25">
      <c r="A20" s="31" t="s">
        <v>0</v>
      </c>
      <c r="B20" s="3">
        <f t="shared" ref="B20:G20" si="2">SUM(B7:B19)</f>
        <v>90536000</v>
      </c>
      <c r="C20" s="3">
        <f t="shared" si="2"/>
        <v>123338000</v>
      </c>
      <c r="D20" s="3">
        <f t="shared" si="2"/>
        <v>93722000</v>
      </c>
      <c r="E20" s="3">
        <f t="shared" si="2"/>
        <v>217060000</v>
      </c>
      <c r="F20" s="3">
        <f t="shared" si="2"/>
        <v>307596000</v>
      </c>
      <c r="G20" s="3">
        <f t="shared" si="2"/>
        <v>291680000</v>
      </c>
      <c r="H20" s="10"/>
      <c r="I20" s="7"/>
    </row>
    <row r="21" spans="1:9" ht="13.5" thickTop="1" x14ac:dyDescent="0.2">
      <c r="A21" s="30"/>
      <c r="B21" s="1"/>
      <c r="C21" s="1"/>
      <c r="D21" s="1"/>
      <c r="E21" s="1"/>
      <c r="F21" s="1"/>
      <c r="G21" s="1"/>
    </row>
    <row r="22" spans="1:9" ht="13.5" thickBot="1" x14ac:dyDescent="0.25">
      <c r="A22" s="31" t="s">
        <v>28</v>
      </c>
      <c r="B22" s="3"/>
      <c r="C22" s="3"/>
      <c r="D22" s="3">
        <f>B20</f>
        <v>90536000</v>
      </c>
      <c r="E22" s="3"/>
      <c r="F22" s="3"/>
      <c r="G22" s="3"/>
      <c r="H22" s="10"/>
      <c r="I22" s="7"/>
    </row>
    <row r="23" spans="1:9" ht="14.25" thickTop="1" thickBot="1" x14ac:dyDescent="0.25">
      <c r="A23" s="31" t="s">
        <v>27</v>
      </c>
      <c r="B23" s="3"/>
      <c r="C23" s="3"/>
      <c r="D23" s="3">
        <f>C20+D20</f>
        <v>217060000</v>
      </c>
      <c r="E23" s="3"/>
      <c r="F23" s="3"/>
      <c r="G23" s="3"/>
      <c r="H23" s="10"/>
      <c r="I23" s="7"/>
    </row>
    <row r="24" spans="1:9" ht="13.5" thickTop="1" x14ac:dyDescent="0.2">
      <c r="A24" s="30"/>
    </row>
    <row r="25" spans="1:9" x14ac:dyDescent="0.2">
      <c r="A25" s="30"/>
    </row>
    <row r="26" spans="1:9" ht="13.5" thickBot="1" x14ac:dyDescent="0.25">
      <c r="A26" s="32"/>
      <c r="B26" s="2"/>
      <c r="C26" s="2"/>
      <c r="D26" s="2"/>
      <c r="E26" s="2"/>
      <c r="F26" s="2"/>
      <c r="G26" s="2"/>
      <c r="H26" s="25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CB08-A539-46FD-865B-DFCFC6D466CE}">
  <dimension ref="A1:I24"/>
  <sheetViews>
    <sheetView workbookViewId="0">
      <selection sqref="A1:I23"/>
    </sheetView>
  </sheetViews>
  <sheetFormatPr defaultRowHeight="12.75" x14ac:dyDescent="0.2"/>
  <cols>
    <col min="1" max="1" width="27.85546875" customWidth="1"/>
    <col min="2" max="5" width="13.28515625" customWidth="1"/>
    <col min="6" max="6" width="14.7109375" customWidth="1"/>
    <col min="7" max="7" width="14.42578125" customWidth="1"/>
    <col min="8" max="8" width="17.85546875" customWidth="1"/>
  </cols>
  <sheetData>
    <row r="1" spans="1:9" ht="15" x14ac:dyDescent="0.25">
      <c r="A1" s="21" t="s">
        <v>4</v>
      </c>
      <c r="B1" s="26"/>
      <c r="C1" s="26"/>
      <c r="D1" s="26"/>
      <c r="E1" s="26"/>
      <c r="F1" s="26"/>
      <c r="G1" s="26"/>
      <c r="H1" s="26"/>
      <c r="I1" s="8"/>
    </row>
    <row r="2" spans="1:9" ht="15" x14ac:dyDescent="0.25">
      <c r="A2" s="23" t="s">
        <v>43</v>
      </c>
      <c r="B2" s="27"/>
      <c r="C2" s="27"/>
      <c r="D2" s="27"/>
      <c r="E2" s="27"/>
      <c r="F2" s="27"/>
      <c r="G2" s="27"/>
      <c r="H2" s="27"/>
      <c r="I2" s="8"/>
    </row>
    <row r="3" spans="1:9" ht="15" x14ac:dyDescent="0.25">
      <c r="A3" s="14"/>
      <c r="B3" s="28" t="s">
        <v>5</v>
      </c>
      <c r="C3" s="28" t="s">
        <v>5</v>
      </c>
      <c r="D3" s="28" t="s">
        <v>5</v>
      </c>
      <c r="E3" s="33" t="s">
        <v>33</v>
      </c>
      <c r="F3" s="28" t="s">
        <v>11</v>
      </c>
      <c r="G3" s="28" t="s">
        <v>14</v>
      </c>
      <c r="H3" s="28"/>
      <c r="I3" s="8"/>
    </row>
    <row r="4" spans="1:9" ht="15" x14ac:dyDescent="0.25">
      <c r="A4" s="14"/>
      <c r="B4" s="28" t="s">
        <v>6</v>
      </c>
      <c r="C4" s="28" t="s">
        <v>8</v>
      </c>
      <c r="D4" s="28" t="s">
        <v>8</v>
      </c>
      <c r="E4" s="28" t="s">
        <v>0</v>
      </c>
      <c r="F4" s="28" t="s">
        <v>12</v>
      </c>
      <c r="G4" s="28" t="s">
        <v>12</v>
      </c>
      <c r="H4" s="28"/>
      <c r="I4" s="8"/>
    </row>
    <row r="5" spans="1:9" ht="15" x14ac:dyDescent="0.25">
      <c r="A5" s="15"/>
      <c r="B5" s="29" t="s">
        <v>7</v>
      </c>
      <c r="C5" s="29" t="s">
        <v>9</v>
      </c>
      <c r="D5" s="29" t="s">
        <v>10</v>
      </c>
      <c r="E5" s="29" t="s">
        <v>34</v>
      </c>
      <c r="F5" s="29" t="s">
        <v>13</v>
      </c>
      <c r="G5" s="29" t="s">
        <v>13</v>
      </c>
      <c r="H5" s="29"/>
      <c r="I5" s="9"/>
    </row>
    <row r="6" spans="1:9" x14ac:dyDescent="0.2">
      <c r="A6" s="30" t="s">
        <v>2</v>
      </c>
      <c r="B6" s="1"/>
      <c r="C6" s="1"/>
      <c r="D6" s="1"/>
      <c r="E6" s="1"/>
      <c r="F6" s="1"/>
      <c r="G6" s="1"/>
    </row>
    <row r="7" spans="1:9" x14ac:dyDescent="0.2">
      <c r="A7" s="17" t="s">
        <v>15</v>
      </c>
      <c r="B7" s="1">
        <v>7122000</v>
      </c>
      <c r="C7" s="1">
        <v>3410000</v>
      </c>
      <c r="D7" s="1">
        <v>11708000</v>
      </c>
      <c r="E7" s="1">
        <f>SUM(C7,D7)</f>
        <v>15118000</v>
      </c>
      <c r="F7" s="1">
        <f>SUM(B7:D7)</f>
        <v>22240000</v>
      </c>
      <c r="G7" s="1">
        <v>21185000</v>
      </c>
      <c r="I7" s="5"/>
    </row>
    <row r="8" spans="1:9" x14ac:dyDescent="0.2">
      <c r="A8" s="17" t="s">
        <v>16</v>
      </c>
      <c r="B8" s="1">
        <v>6809000</v>
      </c>
      <c r="C8" s="1">
        <v>10411000</v>
      </c>
      <c r="D8" s="1">
        <v>3427000</v>
      </c>
      <c r="E8" s="1">
        <f t="shared" ref="E8:E18" si="0">SUM(C8,D8)</f>
        <v>13838000</v>
      </c>
      <c r="F8" s="1">
        <f t="shared" ref="F8:F18" si="1">SUM(B8:D8)</f>
        <v>20647000</v>
      </c>
      <c r="G8" s="1">
        <v>19828000</v>
      </c>
      <c r="I8" s="6"/>
    </row>
    <row r="9" spans="1:9" x14ac:dyDescent="0.2">
      <c r="A9" s="17" t="s">
        <v>17</v>
      </c>
      <c r="B9" s="1">
        <v>7942000</v>
      </c>
      <c r="C9" s="1">
        <v>0</v>
      </c>
      <c r="D9" s="1">
        <v>15306000</v>
      </c>
      <c r="E9" s="1">
        <f t="shared" si="0"/>
        <v>15306000</v>
      </c>
      <c r="F9" s="1">
        <f t="shared" si="1"/>
        <v>23248000</v>
      </c>
      <c r="G9" s="1">
        <v>22113000</v>
      </c>
      <c r="I9" s="6"/>
    </row>
    <row r="10" spans="1:9" x14ac:dyDescent="0.2">
      <c r="A10" s="17" t="s">
        <v>18</v>
      </c>
      <c r="B10" s="1">
        <v>8601000</v>
      </c>
      <c r="C10" s="1">
        <v>13328000</v>
      </c>
      <c r="D10" s="1">
        <v>2596000</v>
      </c>
      <c r="E10" s="1">
        <f t="shared" si="0"/>
        <v>15924000</v>
      </c>
      <c r="F10" s="1">
        <f t="shared" si="1"/>
        <v>24525000</v>
      </c>
      <c r="G10" s="1">
        <v>23551000</v>
      </c>
      <c r="I10" s="6"/>
    </row>
    <row r="11" spans="1:9" x14ac:dyDescent="0.2">
      <c r="A11" s="17" t="s">
        <v>19</v>
      </c>
      <c r="B11" s="1">
        <v>11115000</v>
      </c>
      <c r="C11" s="1">
        <v>284000</v>
      </c>
      <c r="D11" s="1">
        <v>18098000</v>
      </c>
      <c r="E11" s="1">
        <f t="shared" si="0"/>
        <v>18382000</v>
      </c>
      <c r="F11" s="1">
        <f t="shared" si="1"/>
        <v>29497000</v>
      </c>
      <c r="G11" s="1">
        <v>28234000</v>
      </c>
      <c r="I11" s="6"/>
    </row>
    <row r="12" spans="1:9" x14ac:dyDescent="0.2">
      <c r="A12" s="17" t="s">
        <v>20</v>
      </c>
      <c r="B12" s="1">
        <v>11871000</v>
      </c>
      <c r="C12" s="1">
        <v>2854000</v>
      </c>
      <c r="D12" s="1">
        <v>18733000</v>
      </c>
      <c r="E12" s="1">
        <f t="shared" si="0"/>
        <v>21587000</v>
      </c>
      <c r="F12" s="1">
        <f t="shared" si="1"/>
        <v>33458000</v>
      </c>
      <c r="G12" s="1">
        <v>31770000</v>
      </c>
      <c r="I12" s="6"/>
    </row>
    <row r="13" spans="1:9" x14ac:dyDescent="0.2">
      <c r="A13" s="17" t="s">
        <v>21</v>
      </c>
      <c r="B13" s="1">
        <v>10464000</v>
      </c>
      <c r="C13" s="1">
        <v>3369000</v>
      </c>
      <c r="D13" s="1">
        <v>18636000</v>
      </c>
      <c r="E13" s="1">
        <f t="shared" si="0"/>
        <v>22005000</v>
      </c>
      <c r="F13" s="1">
        <f t="shared" si="1"/>
        <v>32469000</v>
      </c>
      <c r="G13" s="1">
        <v>30932000</v>
      </c>
      <c r="I13" s="6"/>
    </row>
    <row r="14" spans="1:9" x14ac:dyDescent="0.2">
      <c r="A14" s="17" t="s">
        <v>22</v>
      </c>
      <c r="B14" s="1">
        <v>10584000</v>
      </c>
      <c r="C14" s="1">
        <v>19788000</v>
      </c>
      <c r="D14" s="1">
        <v>88000</v>
      </c>
      <c r="E14" s="1">
        <f t="shared" si="0"/>
        <v>19876000</v>
      </c>
      <c r="F14" s="1">
        <f t="shared" si="1"/>
        <v>30460000</v>
      </c>
      <c r="G14" s="1">
        <v>29348000</v>
      </c>
      <c r="I14" s="6"/>
    </row>
    <row r="15" spans="1:9" x14ac:dyDescent="0.2">
      <c r="A15" s="17" t="s">
        <v>23</v>
      </c>
      <c r="B15" s="1">
        <v>10198000</v>
      </c>
      <c r="C15" s="1">
        <v>8682000</v>
      </c>
      <c r="D15" s="1">
        <v>9775000</v>
      </c>
      <c r="E15" s="1">
        <f t="shared" si="0"/>
        <v>18457000</v>
      </c>
      <c r="F15" s="1">
        <f t="shared" si="1"/>
        <v>28655000</v>
      </c>
      <c r="G15" s="1">
        <v>27416000</v>
      </c>
      <c r="I15" s="6"/>
    </row>
    <row r="16" spans="1:9" x14ac:dyDescent="0.2">
      <c r="A16" s="17" t="s">
        <v>24</v>
      </c>
      <c r="B16" s="1">
        <v>9289000</v>
      </c>
      <c r="C16" s="1">
        <v>15545000</v>
      </c>
      <c r="D16" s="1">
        <v>2576000</v>
      </c>
      <c r="E16" s="1">
        <f t="shared" si="0"/>
        <v>18121000</v>
      </c>
      <c r="F16" s="1">
        <f t="shared" si="1"/>
        <v>27410000</v>
      </c>
      <c r="G16" s="1">
        <v>25842000</v>
      </c>
      <c r="I16" s="6"/>
    </row>
    <row r="17" spans="1:9" x14ac:dyDescent="0.2">
      <c r="A17" s="17" t="s">
        <v>25</v>
      </c>
      <c r="B17" s="1">
        <v>7877000</v>
      </c>
      <c r="C17" s="1">
        <v>7313000</v>
      </c>
      <c r="D17" s="1">
        <v>7259000</v>
      </c>
      <c r="E17" s="1">
        <f t="shared" si="0"/>
        <v>14572000</v>
      </c>
      <c r="F17" s="1">
        <f t="shared" si="1"/>
        <v>22449000</v>
      </c>
      <c r="G17" s="1">
        <v>21144000</v>
      </c>
      <c r="I17" s="6"/>
    </row>
    <row r="18" spans="1:9" x14ac:dyDescent="0.2">
      <c r="A18" s="17" t="s">
        <v>26</v>
      </c>
      <c r="B18" s="1">
        <v>7982000</v>
      </c>
      <c r="C18" s="1">
        <v>0</v>
      </c>
      <c r="D18" s="1">
        <v>13719000</v>
      </c>
      <c r="E18" s="1">
        <f t="shared" si="0"/>
        <v>13719000</v>
      </c>
      <c r="F18" s="1">
        <f t="shared" si="1"/>
        <v>21701000</v>
      </c>
      <c r="G18" s="1">
        <v>20258000</v>
      </c>
      <c r="I18" s="6"/>
    </row>
    <row r="19" spans="1:9" x14ac:dyDescent="0.2">
      <c r="A19" s="17"/>
      <c r="B19" s="1"/>
      <c r="C19" s="1"/>
      <c r="D19" s="1"/>
      <c r="E19" s="1"/>
      <c r="F19" s="1"/>
      <c r="G19" s="1"/>
      <c r="I19" s="6"/>
    </row>
    <row r="20" spans="1:9" ht="13.5" thickBot="1" x14ac:dyDescent="0.25">
      <c r="A20" s="31" t="s">
        <v>0</v>
      </c>
      <c r="B20" s="3">
        <f t="shared" ref="B20:G20" si="2">SUM(B7:B19)</f>
        <v>109854000</v>
      </c>
      <c r="C20" s="3">
        <f t="shared" si="2"/>
        <v>84984000</v>
      </c>
      <c r="D20" s="3">
        <f t="shared" si="2"/>
        <v>121921000</v>
      </c>
      <c r="E20" s="3">
        <f t="shared" si="2"/>
        <v>206905000</v>
      </c>
      <c r="F20" s="3">
        <f t="shared" si="2"/>
        <v>316759000</v>
      </c>
      <c r="G20" s="3">
        <f t="shared" si="2"/>
        <v>301621000</v>
      </c>
      <c r="H20" s="10"/>
      <c r="I20" s="7"/>
    </row>
    <row r="21" spans="1:9" ht="13.5" thickTop="1" x14ac:dyDescent="0.2">
      <c r="A21" s="30"/>
      <c r="B21" s="1"/>
      <c r="C21" s="1"/>
      <c r="D21" s="1"/>
      <c r="E21" s="1"/>
      <c r="F21" s="1"/>
      <c r="G21" s="1"/>
    </row>
    <row r="22" spans="1:9" ht="13.5" thickBot="1" x14ac:dyDescent="0.25">
      <c r="A22" s="31" t="s">
        <v>28</v>
      </c>
      <c r="B22" s="3"/>
      <c r="C22" s="3"/>
      <c r="D22" s="3">
        <f>B20</f>
        <v>109854000</v>
      </c>
      <c r="E22" s="3"/>
      <c r="F22" s="3"/>
      <c r="G22" s="3"/>
      <c r="H22" s="10"/>
      <c r="I22" s="7"/>
    </row>
    <row r="23" spans="1:9" ht="14.25" thickTop="1" thickBot="1" x14ac:dyDescent="0.25">
      <c r="A23" s="31" t="s">
        <v>27</v>
      </c>
      <c r="B23" s="3"/>
      <c r="C23" s="3"/>
      <c r="D23" s="3">
        <f>C20+D20</f>
        <v>206905000</v>
      </c>
      <c r="E23" s="3"/>
      <c r="F23" s="3"/>
      <c r="G23" s="3"/>
      <c r="H23" s="10"/>
      <c r="I23" s="7"/>
    </row>
    <row r="24" spans="1:9" ht="13.5" thickTop="1" x14ac:dyDescent="0.2"/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ECFB-1EA5-4C7C-B93C-202433C4ECD8}">
  <dimension ref="A1:I24"/>
  <sheetViews>
    <sheetView workbookViewId="0">
      <selection activeCell="A23" sqref="A23"/>
    </sheetView>
  </sheetViews>
  <sheetFormatPr defaultRowHeight="12.75" x14ac:dyDescent="0.2"/>
  <cols>
    <col min="1" max="1" width="27.85546875" customWidth="1"/>
    <col min="2" max="5" width="13.28515625" customWidth="1"/>
    <col min="6" max="6" width="14.7109375" customWidth="1"/>
    <col min="7" max="7" width="14.42578125" customWidth="1"/>
    <col min="8" max="8" width="17.85546875" customWidth="1"/>
  </cols>
  <sheetData>
    <row r="1" spans="1:9" ht="15" x14ac:dyDescent="0.25">
      <c r="A1" s="21" t="s">
        <v>4</v>
      </c>
      <c r="B1" s="26"/>
      <c r="C1" s="26"/>
      <c r="D1" s="26"/>
      <c r="E1" s="26"/>
      <c r="F1" s="26"/>
      <c r="G1" s="26"/>
      <c r="H1" s="26"/>
      <c r="I1" s="8"/>
    </row>
    <row r="2" spans="1:9" ht="15" x14ac:dyDescent="0.25">
      <c r="A2" s="23" t="s">
        <v>44</v>
      </c>
      <c r="B2" s="27"/>
      <c r="C2" s="27"/>
      <c r="D2" s="27"/>
      <c r="E2" s="27"/>
      <c r="F2" s="27"/>
      <c r="G2" s="27"/>
      <c r="H2" s="27"/>
      <c r="I2" s="8"/>
    </row>
    <row r="3" spans="1:9" ht="15" x14ac:dyDescent="0.25">
      <c r="A3" s="14"/>
      <c r="B3" s="28" t="s">
        <v>5</v>
      </c>
      <c r="C3" s="28" t="s">
        <v>5</v>
      </c>
      <c r="D3" s="28" t="s">
        <v>5</v>
      </c>
      <c r="E3" s="33" t="s">
        <v>33</v>
      </c>
      <c r="F3" s="28" t="s">
        <v>11</v>
      </c>
      <c r="G3" s="28" t="s">
        <v>14</v>
      </c>
      <c r="H3" s="28"/>
      <c r="I3" s="8"/>
    </row>
    <row r="4" spans="1:9" ht="15" x14ac:dyDescent="0.25">
      <c r="A4" s="14"/>
      <c r="B4" s="28" t="s">
        <v>6</v>
      </c>
      <c r="C4" s="28" t="s">
        <v>8</v>
      </c>
      <c r="D4" s="28" t="s">
        <v>8</v>
      </c>
      <c r="E4" s="28" t="s">
        <v>0</v>
      </c>
      <c r="F4" s="28" t="s">
        <v>12</v>
      </c>
      <c r="G4" s="28" t="s">
        <v>12</v>
      </c>
      <c r="H4" s="28"/>
      <c r="I4" s="8"/>
    </row>
    <row r="5" spans="1:9" ht="15" x14ac:dyDescent="0.25">
      <c r="A5" s="15"/>
      <c r="B5" s="29" t="s">
        <v>7</v>
      </c>
      <c r="C5" s="29" t="s">
        <v>9</v>
      </c>
      <c r="D5" s="29" t="s">
        <v>10</v>
      </c>
      <c r="E5" s="29" t="s">
        <v>34</v>
      </c>
      <c r="F5" s="29" t="s">
        <v>13</v>
      </c>
      <c r="G5" s="29" t="s">
        <v>13</v>
      </c>
      <c r="H5" s="29"/>
      <c r="I5" s="9"/>
    </row>
    <row r="6" spans="1:9" x14ac:dyDescent="0.2">
      <c r="A6" s="30" t="s">
        <v>2</v>
      </c>
      <c r="B6" s="1"/>
      <c r="C6" s="1"/>
      <c r="D6" s="1"/>
      <c r="E6" s="1"/>
      <c r="F6" s="1"/>
      <c r="G6" s="1"/>
    </row>
    <row r="7" spans="1:9" x14ac:dyDescent="0.2">
      <c r="A7" s="17" t="s">
        <v>15</v>
      </c>
      <c r="B7" s="1">
        <v>7695000</v>
      </c>
      <c r="C7" s="1">
        <v>519000</v>
      </c>
      <c r="D7" s="1">
        <v>13571000</v>
      </c>
      <c r="E7" s="1">
        <f>SUM(C7,D7)</f>
        <v>14090000</v>
      </c>
      <c r="F7" s="1">
        <f>SUM(B7:D7)</f>
        <v>21785000</v>
      </c>
      <c r="G7" s="1">
        <v>20728000</v>
      </c>
      <c r="I7" s="5"/>
    </row>
    <row r="8" spans="1:9" x14ac:dyDescent="0.2">
      <c r="A8" s="17" t="s">
        <v>16</v>
      </c>
      <c r="B8" s="1">
        <v>6615000</v>
      </c>
      <c r="C8" s="1">
        <v>13602000</v>
      </c>
      <c r="D8" s="1">
        <v>5000</v>
      </c>
      <c r="E8" s="1">
        <f t="shared" ref="E8:E18" si="0">SUM(C8,D8)</f>
        <v>13607000</v>
      </c>
      <c r="F8" s="1">
        <f t="shared" ref="F8:F18" si="1">SUM(B8:D8)</f>
        <v>20222000</v>
      </c>
      <c r="G8" s="1">
        <v>19162000</v>
      </c>
      <c r="I8" s="6"/>
    </row>
    <row r="9" spans="1:9" x14ac:dyDescent="0.2">
      <c r="A9" s="17" t="s">
        <v>17</v>
      </c>
      <c r="B9" s="1">
        <v>8272000</v>
      </c>
      <c r="C9" s="1">
        <v>13197000</v>
      </c>
      <c r="D9" s="1">
        <v>1538000</v>
      </c>
      <c r="E9" s="1">
        <f t="shared" si="0"/>
        <v>14735000</v>
      </c>
      <c r="F9" s="1">
        <f t="shared" si="1"/>
        <v>23007000</v>
      </c>
      <c r="G9" s="1">
        <v>22057000</v>
      </c>
      <c r="I9" s="6"/>
    </row>
    <row r="10" spans="1:9" x14ac:dyDescent="0.2">
      <c r="A10" s="17" t="s">
        <v>18</v>
      </c>
      <c r="B10" s="1">
        <v>8498000</v>
      </c>
      <c r="C10" s="1">
        <v>6200000</v>
      </c>
      <c r="D10" s="1">
        <v>8243000</v>
      </c>
      <c r="E10" s="1">
        <f t="shared" si="0"/>
        <v>14443000</v>
      </c>
      <c r="F10" s="1">
        <f t="shared" si="1"/>
        <v>22941000</v>
      </c>
      <c r="G10" s="1">
        <v>21812000</v>
      </c>
      <c r="I10" s="6"/>
    </row>
    <row r="11" spans="1:9" x14ac:dyDescent="0.2">
      <c r="A11" s="17" t="s">
        <v>19</v>
      </c>
      <c r="B11" s="1">
        <v>9829000</v>
      </c>
      <c r="C11" s="1">
        <v>17653000</v>
      </c>
      <c r="D11" s="1">
        <v>8000</v>
      </c>
      <c r="E11" s="1">
        <f t="shared" si="0"/>
        <v>17661000</v>
      </c>
      <c r="F11" s="1">
        <f t="shared" si="1"/>
        <v>27490000</v>
      </c>
      <c r="G11" s="1">
        <v>26609000</v>
      </c>
      <c r="I11" s="6"/>
    </row>
    <row r="12" spans="1:9" x14ac:dyDescent="0.2">
      <c r="A12" s="17" t="s">
        <v>20</v>
      </c>
      <c r="B12" s="1">
        <v>3110000</v>
      </c>
      <c r="C12" s="1">
        <v>17876000</v>
      </c>
      <c r="D12" s="1">
        <v>12618000</v>
      </c>
      <c r="E12" s="1">
        <f t="shared" si="0"/>
        <v>30494000</v>
      </c>
      <c r="F12" s="1">
        <f t="shared" si="1"/>
        <v>33604000</v>
      </c>
      <c r="G12" s="1">
        <v>31904000</v>
      </c>
      <c r="I12" s="6"/>
    </row>
    <row r="13" spans="1:9" x14ac:dyDescent="0.2">
      <c r="A13" s="17" t="s">
        <v>21</v>
      </c>
      <c r="B13" s="1">
        <v>4291000</v>
      </c>
      <c r="C13" s="1">
        <v>18978000</v>
      </c>
      <c r="D13" s="1">
        <v>10794000</v>
      </c>
      <c r="E13" s="1">
        <f t="shared" si="0"/>
        <v>29772000</v>
      </c>
      <c r="F13" s="1">
        <f t="shared" si="1"/>
        <v>34063000</v>
      </c>
      <c r="G13" s="1">
        <v>32353000</v>
      </c>
      <c r="I13" s="6"/>
    </row>
    <row r="14" spans="1:9" x14ac:dyDescent="0.2">
      <c r="A14" s="17" t="s">
        <v>22</v>
      </c>
      <c r="B14" s="1">
        <v>9694000</v>
      </c>
      <c r="C14" s="1">
        <v>8388000</v>
      </c>
      <c r="D14" s="1">
        <v>9743000</v>
      </c>
      <c r="E14" s="1">
        <f t="shared" si="0"/>
        <v>18131000</v>
      </c>
      <c r="F14" s="1">
        <f t="shared" si="1"/>
        <v>27825000</v>
      </c>
      <c r="G14" s="1">
        <v>25986000</v>
      </c>
      <c r="I14" s="6"/>
    </row>
    <row r="15" spans="1:9" x14ac:dyDescent="0.2">
      <c r="A15" s="17" t="s">
        <v>23</v>
      </c>
      <c r="B15" s="1">
        <v>9720000</v>
      </c>
      <c r="C15" s="1">
        <v>0</v>
      </c>
      <c r="D15" s="1">
        <v>17380000</v>
      </c>
      <c r="E15" s="1">
        <f t="shared" si="0"/>
        <v>17380000</v>
      </c>
      <c r="F15" s="1">
        <f t="shared" si="1"/>
        <v>27100000</v>
      </c>
      <c r="G15" s="1">
        <v>25262000</v>
      </c>
      <c r="I15" s="6"/>
    </row>
    <row r="16" spans="1:9" x14ac:dyDescent="0.2">
      <c r="A16" s="17" t="s">
        <v>24</v>
      </c>
      <c r="B16" s="1">
        <v>8715000</v>
      </c>
      <c r="C16" s="1">
        <v>8568000</v>
      </c>
      <c r="D16" s="1">
        <v>9150000</v>
      </c>
      <c r="E16" s="1">
        <f t="shared" si="0"/>
        <v>17718000</v>
      </c>
      <c r="F16" s="1">
        <f t="shared" si="1"/>
        <v>26433000</v>
      </c>
      <c r="G16" s="1">
        <v>25164000</v>
      </c>
      <c r="I16" s="6"/>
    </row>
    <row r="17" spans="1:9" x14ac:dyDescent="0.2">
      <c r="A17" s="17" t="s">
        <v>25</v>
      </c>
      <c r="B17" s="1">
        <v>7414000</v>
      </c>
      <c r="C17" s="1">
        <v>4995000</v>
      </c>
      <c r="D17" s="1">
        <v>9322000</v>
      </c>
      <c r="E17" s="1">
        <f t="shared" si="0"/>
        <v>14317000</v>
      </c>
      <c r="F17" s="1">
        <f t="shared" si="1"/>
        <v>21731000</v>
      </c>
      <c r="G17" s="1">
        <v>20336000</v>
      </c>
      <c r="I17" s="6"/>
    </row>
    <row r="18" spans="1:9" x14ac:dyDescent="0.2">
      <c r="A18" s="17" t="s">
        <v>26</v>
      </c>
      <c r="B18" s="1">
        <v>7815000</v>
      </c>
      <c r="C18" s="1">
        <v>4750000</v>
      </c>
      <c r="D18" s="1">
        <v>10154000</v>
      </c>
      <c r="E18" s="1">
        <f t="shared" si="0"/>
        <v>14904000</v>
      </c>
      <c r="F18" s="1">
        <f t="shared" si="1"/>
        <v>22719000</v>
      </c>
      <c r="G18" s="1">
        <v>21233000</v>
      </c>
      <c r="I18" s="6"/>
    </row>
    <row r="19" spans="1:9" x14ac:dyDescent="0.2">
      <c r="A19" s="17"/>
      <c r="B19" s="1"/>
      <c r="C19" s="1"/>
      <c r="D19" s="1"/>
      <c r="E19" s="1"/>
      <c r="F19" s="1"/>
      <c r="G19" s="1"/>
      <c r="I19" s="6"/>
    </row>
    <row r="20" spans="1:9" ht="13.5" thickBot="1" x14ac:dyDescent="0.25">
      <c r="A20" s="31" t="s">
        <v>0</v>
      </c>
      <c r="B20" s="3">
        <f t="shared" ref="B20:G20" si="2">SUM(B7:B19)</f>
        <v>91668000</v>
      </c>
      <c r="C20" s="3">
        <f t="shared" si="2"/>
        <v>114726000</v>
      </c>
      <c r="D20" s="3">
        <f t="shared" si="2"/>
        <v>102526000</v>
      </c>
      <c r="E20" s="3">
        <f t="shared" si="2"/>
        <v>217252000</v>
      </c>
      <c r="F20" s="3">
        <f t="shared" si="2"/>
        <v>308920000</v>
      </c>
      <c r="G20" s="3">
        <f t="shared" si="2"/>
        <v>292606000</v>
      </c>
      <c r="H20" s="10"/>
      <c r="I20" s="7"/>
    </row>
    <row r="21" spans="1:9" ht="13.5" thickTop="1" x14ac:dyDescent="0.2">
      <c r="A21" s="30"/>
      <c r="B21" s="1"/>
      <c r="C21" s="1"/>
      <c r="D21" s="1"/>
      <c r="E21" s="1"/>
      <c r="F21" s="1"/>
      <c r="G21" s="1"/>
    </row>
    <row r="22" spans="1:9" ht="13.5" thickBot="1" x14ac:dyDescent="0.25">
      <c r="A22" s="31" t="s">
        <v>28</v>
      </c>
      <c r="B22" s="3"/>
      <c r="C22" s="3"/>
      <c r="D22" s="3">
        <f>B20</f>
        <v>91668000</v>
      </c>
      <c r="E22" s="3"/>
      <c r="F22" s="3"/>
      <c r="G22" s="3"/>
      <c r="H22" s="10"/>
      <c r="I22" s="7"/>
    </row>
    <row r="23" spans="1:9" ht="14.25" thickTop="1" thickBot="1" x14ac:dyDescent="0.25">
      <c r="A23" s="31" t="s">
        <v>27</v>
      </c>
      <c r="B23" s="3"/>
      <c r="C23" s="3"/>
      <c r="D23" s="3">
        <f>C20+D20</f>
        <v>217252000</v>
      </c>
      <c r="E23" s="3"/>
      <c r="F23" s="3"/>
      <c r="G23" s="3"/>
      <c r="H23" s="10"/>
      <c r="I23" s="7"/>
    </row>
    <row r="24" spans="1:9" ht="13.5" thickTop="1" x14ac:dyDescent="0.2"/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1551-4B59-4344-AC21-4FD543770517}">
  <dimension ref="A1:I26"/>
  <sheetViews>
    <sheetView workbookViewId="0">
      <selection sqref="A1:I26"/>
    </sheetView>
  </sheetViews>
  <sheetFormatPr defaultRowHeight="12.75" x14ac:dyDescent="0.2"/>
  <cols>
    <col min="1" max="1" width="27.85546875" customWidth="1"/>
    <col min="2" max="5" width="13.28515625" customWidth="1"/>
    <col min="6" max="6" width="14.7109375" customWidth="1"/>
    <col min="7" max="7" width="14.42578125" customWidth="1"/>
    <col min="8" max="8" width="17.85546875" customWidth="1"/>
  </cols>
  <sheetData>
    <row r="1" spans="1:9" ht="15" x14ac:dyDescent="0.25">
      <c r="A1" s="21" t="s">
        <v>4</v>
      </c>
      <c r="B1" s="26"/>
      <c r="C1" s="26"/>
      <c r="D1" s="26"/>
      <c r="E1" s="26"/>
      <c r="F1" s="26"/>
      <c r="G1" s="26"/>
      <c r="H1" s="26"/>
      <c r="I1" s="8"/>
    </row>
    <row r="2" spans="1:9" ht="15" x14ac:dyDescent="0.25">
      <c r="A2" s="23" t="s">
        <v>45</v>
      </c>
      <c r="B2" s="27"/>
      <c r="C2" s="27"/>
      <c r="D2" s="27"/>
      <c r="E2" s="27"/>
      <c r="F2" s="27"/>
      <c r="G2" s="27"/>
      <c r="H2" s="27"/>
      <c r="I2" s="8"/>
    </row>
    <row r="3" spans="1:9" ht="15" x14ac:dyDescent="0.25">
      <c r="A3" s="14"/>
      <c r="B3" s="28" t="s">
        <v>5</v>
      </c>
      <c r="C3" s="28" t="s">
        <v>5</v>
      </c>
      <c r="D3" s="28" t="s">
        <v>5</v>
      </c>
      <c r="E3" s="33" t="s">
        <v>33</v>
      </c>
      <c r="F3" s="28" t="s">
        <v>11</v>
      </c>
      <c r="G3" s="28" t="s">
        <v>14</v>
      </c>
      <c r="H3" s="28"/>
      <c r="I3" s="8"/>
    </row>
    <row r="4" spans="1:9" ht="15" x14ac:dyDescent="0.25">
      <c r="A4" s="14"/>
      <c r="B4" s="28" t="s">
        <v>6</v>
      </c>
      <c r="C4" s="28" t="s">
        <v>8</v>
      </c>
      <c r="D4" s="28" t="s">
        <v>8</v>
      </c>
      <c r="E4" s="28" t="s">
        <v>0</v>
      </c>
      <c r="F4" s="28" t="s">
        <v>12</v>
      </c>
      <c r="G4" s="28" t="s">
        <v>12</v>
      </c>
      <c r="H4" s="28"/>
      <c r="I4" s="8"/>
    </row>
    <row r="5" spans="1:9" ht="15" x14ac:dyDescent="0.25">
      <c r="A5" s="15"/>
      <c r="B5" s="29" t="s">
        <v>7</v>
      </c>
      <c r="C5" s="29" t="s">
        <v>9</v>
      </c>
      <c r="D5" s="29" t="s">
        <v>10</v>
      </c>
      <c r="E5" s="29" t="s">
        <v>34</v>
      </c>
      <c r="F5" s="29" t="s">
        <v>13</v>
      </c>
      <c r="G5" s="29" t="s">
        <v>13</v>
      </c>
      <c r="H5" s="29"/>
      <c r="I5" s="9"/>
    </row>
    <row r="6" spans="1:9" x14ac:dyDescent="0.2">
      <c r="A6" s="30" t="s">
        <v>2</v>
      </c>
      <c r="B6" s="1"/>
      <c r="C6" s="1"/>
      <c r="D6" s="1"/>
      <c r="E6" s="1"/>
      <c r="F6" s="1"/>
      <c r="G6" s="1"/>
    </row>
    <row r="7" spans="1:9" x14ac:dyDescent="0.2">
      <c r="A7" s="17" t="s">
        <v>15</v>
      </c>
      <c r="B7" s="1">
        <v>7655000</v>
      </c>
      <c r="C7" s="1">
        <v>11171000</v>
      </c>
      <c r="D7" s="1">
        <v>3247000</v>
      </c>
      <c r="E7" s="1">
        <f>SUM(C7,D7)</f>
        <v>14418000</v>
      </c>
      <c r="F7" s="1">
        <f>SUM(B7:D7)</f>
        <v>22073000</v>
      </c>
      <c r="G7" s="1">
        <v>20473000</v>
      </c>
      <c r="I7" s="5"/>
    </row>
    <row r="8" spans="1:9" x14ac:dyDescent="0.2">
      <c r="A8" s="17" t="s">
        <v>16</v>
      </c>
      <c r="B8" s="1">
        <v>6636000</v>
      </c>
      <c r="C8" s="1">
        <v>9373000</v>
      </c>
      <c r="D8" s="1">
        <v>4502000</v>
      </c>
      <c r="E8" s="1">
        <f t="shared" ref="E8:E18" si="0">SUM(C8,D8)</f>
        <v>13875000</v>
      </c>
      <c r="F8" s="1">
        <f t="shared" ref="F8:F18" si="1">SUM(B8:D8)</f>
        <v>20511000</v>
      </c>
      <c r="G8" s="1">
        <v>18880000</v>
      </c>
      <c r="I8" s="6"/>
    </row>
    <row r="9" spans="1:9" x14ac:dyDescent="0.2">
      <c r="A9" s="17" t="s">
        <v>17</v>
      </c>
      <c r="B9" s="1">
        <v>8202000</v>
      </c>
      <c r="C9" s="1">
        <v>9033000</v>
      </c>
      <c r="D9" s="1">
        <v>4906000</v>
      </c>
      <c r="E9" s="1">
        <f t="shared" si="0"/>
        <v>13939000</v>
      </c>
      <c r="F9" s="1">
        <f t="shared" si="1"/>
        <v>22141000</v>
      </c>
      <c r="G9" s="1">
        <v>21055000</v>
      </c>
      <c r="I9" s="6"/>
    </row>
    <row r="10" spans="1:9" x14ac:dyDescent="0.2">
      <c r="A10" s="17" t="s">
        <v>18</v>
      </c>
      <c r="B10" s="1">
        <v>7540000</v>
      </c>
      <c r="C10" s="1">
        <v>0</v>
      </c>
      <c r="D10" s="1">
        <v>13720000</v>
      </c>
      <c r="E10" s="1">
        <f t="shared" si="0"/>
        <v>13720000</v>
      </c>
      <c r="F10" s="1">
        <f t="shared" si="1"/>
        <v>21260000</v>
      </c>
      <c r="G10" s="1">
        <v>20375000</v>
      </c>
      <c r="I10" s="6"/>
    </row>
    <row r="11" spans="1:9" x14ac:dyDescent="0.2">
      <c r="A11" s="17" t="s">
        <v>19</v>
      </c>
      <c r="B11" s="1">
        <v>10481000</v>
      </c>
      <c r="C11" s="1">
        <v>12000</v>
      </c>
      <c r="D11" s="1">
        <v>19976000</v>
      </c>
      <c r="E11" s="1">
        <f t="shared" si="0"/>
        <v>19988000</v>
      </c>
      <c r="F11" s="1">
        <f t="shared" si="1"/>
        <v>30469000</v>
      </c>
      <c r="G11" s="1">
        <v>29257000</v>
      </c>
      <c r="I11" s="6"/>
    </row>
    <row r="12" spans="1:9" x14ac:dyDescent="0.2">
      <c r="A12" s="17" t="s">
        <v>20</v>
      </c>
      <c r="B12" s="1">
        <v>10121000</v>
      </c>
      <c r="C12" s="1">
        <v>0</v>
      </c>
      <c r="D12" s="1">
        <v>19693000</v>
      </c>
      <c r="E12" s="1">
        <f t="shared" si="0"/>
        <v>19693000</v>
      </c>
      <c r="F12" s="1">
        <f t="shared" si="1"/>
        <v>29814000</v>
      </c>
      <c r="G12" s="1">
        <v>27895000</v>
      </c>
      <c r="I12" s="6"/>
    </row>
    <row r="13" spans="1:9" x14ac:dyDescent="0.2">
      <c r="A13" s="17" t="s">
        <v>21</v>
      </c>
      <c r="B13" s="1">
        <v>10002000</v>
      </c>
      <c r="C13" s="1">
        <v>0</v>
      </c>
      <c r="D13" s="1">
        <v>19194000</v>
      </c>
      <c r="E13" s="1">
        <f t="shared" si="0"/>
        <v>19194000</v>
      </c>
      <c r="F13" s="1">
        <f t="shared" si="1"/>
        <v>29196000</v>
      </c>
      <c r="G13" s="1">
        <v>27743000</v>
      </c>
      <c r="I13" s="6"/>
    </row>
    <row r="14" spans="1:9" x14ac:dyDescent="0.2">
      <c r="A14" s="17" t="s">
        <v>22</v>
      </c>
      <c r="B14" s="1">
        <v>10133000</v>
      </c>
      <c r="C14" s="1">
        <v>0</v>
      </c>
      <c r="D14" s="1">
        <v>18896000</v>
      </c>
      <c r="E14" s="1">
        <f t="shared" si="0"/>
        <v>18896000</v>
      </c>
      <c r="F14" s="1">
        <f t="shared" si="1"/>
        <v>29029000</v>
      </c>
      <c r="G14" s="1">
        <v>27445000</v>
      </c>
      <c r="I14" s="6"/>
    </row>
    <row r="15" spans="1:9" x14ac:dyDescent="0.2">
      <c r="A15" s="17" t="s">
        <v>23</v>
      </c>
      <c r="B15" s="1">
        <v>7540000</v>
      </c>
      <c r="C15" s="1">
        <v>0</v>
      </c>
      <c r="D15" s="1">
        <v>13720000</v>
      </c>
      <c r="E15" s="1">
        <f t="shared" si="0"/>
        <v>13720000</v>
      </c>
      <c r="F15" s="1">
        <f t="shared" si="1"/>
        <v>21260000</v>
      </c>
      <c r="G15" s="1">
        <v>20375000</v>
      </c>
      <c r="I15" s="6"/>
    </row>
    <row r="16" spans="1:9" x14ac:dyDescent="0.2">
      <c r="A16" s="17" t="s">
        <v>24</v>
      </c>
      <c r="B16" s="1">
        <v>9799000</v>
      </c>
      <c r="C16" s="1">
        <v>0</v>
      </c>
      <c r="D16" s="1">
        <v>17301000</v>
      </c>
      <c r="E16" s="1">
        <f t="shared" si="0"/>
        <v>17301000</v>
      </c>
      <c r="F16" s="1">
        <f t="shared" si="1"/>
        <v>27100000</v>
      </c>
      <c r="G16" s="1">
        <v>25262000</v>
      </c>
      <c r="I16" s="6"/>
    </row>
    <row r="17" spans="1:9" x14ac:dyDescent="0.2">
      <c r="A17" s="17" t="s">
        <v>25</v>
      </c>
      <c r="B17" s="1">
        <v>2418000</v>
      </c>
      <c r="C17" s="1">
        <v>0</v>
      </c>
      <c r="D17" s="1">
        <v>21009000</v>
      </c>
      <c r="E17" s="1">
        <f t="shared" si="0"/>
        <v>21009000</v>
      </c>
      <c r="F17" s="1">
        <f t="shared" si="1"/>
        <v>23427000</v>
      </c>
      <c r="G17" s="1">
        <v>21787000</v>
      </c>
      <c r="I17" s="6"/>
    </row>
    <row r="18" spans="1:9" x14ac:dyDescent="0.2">
      <c r="A18" s="17" t="s">
        <v>26</v>
      </c>
      <c r="B18" s="1">
        <v>7643000</v>
      </c>
      <c r="C18" s="1">
        <v>0</v>
      </c>
      <c r="D18" s="1">
        <v>14460000</v>
      </c>
      <c r="E18" s="1">
        <f t="shared" si="0"/>
        <v>14460000</v>
      </c>
      <c r="F18" s="1">
        <f t="shared" si="1"/>
        <v>22103000</v>
      </c>
      <c r="G18" s="1">
        <v>22000000</v>
      </c>
      <c r="I18" s="6"/>
    </row>
    <row r="19" spans="1:9" x14ac:dyDescent="0.2">
      <c r="A19" s="17"/>
      <c r="B19" s="1"/>
      <c r="C19" s="1"/>
      <c r="D19" s="1"/>
      <c r="E19" s="1"/>
      <c r="F19" s="1"/>
      <c r="G19" s="1"/>
      <c r="I19" s="6"/>
    </row>
    <row r="20" spans="1:9" ht="13.5" thickBot="1" x14ac:dyDescent="0.25">
      <c r="A20" s="31" t="s">
        <v>0</v>
      </c>
      <c r="B20" s="3">
        <f t="shared" ref="B20:G20" si="2">SUM(B7:B19)</f>
        <v>98170000</v>
      </c>
      <c r="C20" s="3">
        <f t="shared" si="2"/>
        <v>29589000</v>
      </c>
      <c r="D20" s="3">
        <f t="shared" si="2"/>
        <v>170624000</v>
      </c>
      <c r="E20" s="3">
        <f t="shared" si="2"/>
        <v>200213000</v>
      </c>
      <c r="F20" s="3">
        <f t="shared" si="2"/>
        <v>298383000</v>
      </c>
      <c r="G20" s="3">
        <f t="shared" si="2"/>
        <v>282547000</v>
      </c>
      <c r="H20" s="10"/>
      <c r="I20" s="7"/>
    </row>
    <row r="21" spans="1:9" ht="13.5" thickTop="1" x14ac:dyDescent="0.2">
      <c r="A21" s="30"/>
      <c r="B21" s="1"/>
      <c r="C21" s="1"/>
      <c r="D21" s="1"/>
      <c r="E21" s="1"/>
      <c r="F21" s="1"/>
      <c r="G21" s="1"/>
    </row>
    <row r="22" spans="1:9" ht="13.5" thickBot="1" x14ac:dyDescent="0.25">
      <c r="A22" s="31" t="s">
        <v>28</v>
      </c>
      <c r="B22" s="3"/>
      <c r="C22" s="3"/>
      <c r="D22" s="3">
        <f>B20</f>
        <v>98170000</v>
      </c>
      <c r="E22" s="3"/>
      <c r="F22" s="3"/>
      <c r="G22" s="3"/>
      <c r="H22" s="10"/>
      <c r="I22" s="7"/>
    </row>
    <row r="23" spans="1:9" ht="14.25" thickTop="1" thickBot="1" x14ac:dyDescent="0.25">
      <c r="A23" s="31" t="s">
        <v>27</v>
      </c>
      <c r="B23" s="3"/>
      <c r="C23" s="3"/>
      <c r="D23" s="3">
        <f>C20+D20</f>
        <v>200213000</v>
      </c>
      <c r="E23" s="3"/>
      <c r="F23" s="3"/>
      <c r="G23" s="3"/>
      <c r="H23" s="10"/>
      <c r="I23" s="7"/>
    </row>
    <row r="24" spans="1:9" ht="13.5" thickTop="1" x14ac:dyDescent="0.2">
      <c r="A24" s="30"/>
    </row>
    <row r="25" spans="1:9" x14ac:dyDescent="0.2">
      <c r="A25" s="30"/>
    </row>
    <row r="26" spans="1:9" ht="13.5" thickBot="1" x14ac:dyDescent="0.25">
      <c r="A26" s="32"/>
      <c r="B26" s="2"/>
      <c r="C26" s="2"/>
      <c r="D26" s="2"/>
      <c r="E26" s="2"/>
      <c r="F26" s="2"/>
      <c r="G26" s="2"/>
      <c r="H26" s="2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410A-0BBC-4F16-A2F0-4A86DBCCFC3A}">
  <dimension ref="A1:I26"/>
  <sheetViews>
    <sheetView workbookViewId="0">
      <selection sqref="A1:I26"/>
    </sheetView>
  </sheetViews>
  <sheetFormatPr defaultRowHeight="12.75" x14ac:dyDescent="0.2"/>
  <cols>
    <col min="1" max="1" width="27.7109375" customWidth="1"/>
    <col min="2" max="5" width="13.28515625" customWidth="1"/>
    <col min="6" max="6" width="14.7109375" customWidth="1"/>
    <col min="7" max="7" width="14.42578125" customWidth="1"/>
    <col min="8" max="8" width="17.7109375" customWidth="1"/>
  </cols>
  <sheetData>
    <row r="1" spans="1:9" ht="15" x14ac:dyDescent="0.25">
      <c r="A1" s="21" t="s">
        <v>4</v>
      </c>
      <c r="B1" s="26"/>
      <c r="C1" s="26"/>
      <c r="D1" s="26"/>
      <c r="E1" s="26"/>
      <c r="F1" s="26"/>
      <c r="G1" s="26"/>
      <c r="H1" s="26"/>
      <c r="I1" s="8"/>
    </row>
    <row r="2" spans="1:9" ht="15" x14ac:dyDescent="0.25">
      <c r="A2" s="23" t="s">
        <v>46</v>
      </c>
      <c r="B2" s="27"/>
      <c r="C2" s="27"/>
      <c r="D2" s="27"/>
      <c r="E2" s="27"/>
      <c r="F2" s="27"/>
      <c r="G2" s="27"/>
      <c r="H2" s="27"/>
      <c r="I2" s="8"/>
    </row>
    <row r="3" spans="1:9" ht="15" x14ac:dyDescent="0.25">
      <c r="A3" s="14"/>
      <c r="B3" s="28" t="s">
        <v>5</v>
      </c>
      <c r="C3" s="28" t="s">
        <v>5</v>
      </c>
      <c r="D3" s="28" t="s">
        <v>5</v>
      </c>
      <c r="E3" s="33" t="s">
        <v>33</v>
      </c>
      <c r="F3" s="28" t="s">
        <v>11</v>
      </c>
      <c r="G3" s="28" t="s">
        <v>14</v>
      </c>
      <c r="H3" s="28"/>
      <c r="I3" s="8"/>
    </row>
    <row r="4" spans="1:9" ht="15" x14ac:dyDescent="0.25">
      <c r="A4" s="14"/>
      <c r="B4" s="28" t="s">
        <v>6</v>
      </c>
      <c r="C4" s="28" t="s">
        <v>8</v>
      </c>
      <c r="D4" s="28" t="s">
        <v>8</v>
      </c>
      <c r="E4" s="28" t="s">
        <v>0</v>
      </c>
      <c r="F4" s="28" t="s">
        <v>12</v>
      </c>
      <c r="G4" s="28" t="s">
        <v>12</v>
      </c>
      <c r="H4" s="28"/>
      <c r="I4" s="8"/>
    </row>
    <row r="5" spans="1:9" ht="15" x14ac:dyDescent="0.25">
      <c r="A5" s="15"/>
      <c r="B5" s="29" t="s">
        <v>7</v>
      </c>
      <c r="C5" s="29" t="s">
        <v>9</v>
      </c>
      <c r="D5" s="29" t="s">
        <v>10</v>
      </c>
      <c r="E5" s="29" t="s">
        <v>34</v>
      </c>
      <c r="F5" s="29" t="s">
        <v>13</v>
      </c>
      <c r="G5" s="29" t="s">
        <v>13</v>
      </c>
      <c r="H5" s="29"/>
      <c r="I5" s="9"/>
    </row>
    <row r="6" spans="1:9" x14ac:dyDescent="0.2">
      <c r="A6" s="30" t="s">
        <v>2</v>
      </c>
      <c r="B6" s="1"/>
      <c r="C6" s="1"/>
      <c r="D6" s="1"/>
      <c r="E6" s="1"/>
      <c r="F6" s="1"/>
      <c r="G6" s="1"/>
    </row>
    <row r="7" spans="1:9" x14ac:dyDescent="0.2">
      <c r="A7" s="17" t="s">
        <v>15</v>
      </c>
      <c r="B7" s="1">
        <v>7643000</v>
      </c>
      <c r="C7" s="1">
        <v>3957000</v>
      </c>
      <c r="D7" s="1">
        <v>10644000</v>
      </c>
      <c r="E7" s="1">
        <f>SUM(C7,D7)</f>
        <v>14601000</v>
      </c>
      <c r="F7" s="1">
        <f>SUM(B7:D7)</f>
        <v>22244000</v>
      </c>
      <c r="G7" s="1">
        <v>21686000</v>
      </c>
      <c r="I7" s="5"/>
    </row>
    <row r="8" spans="1:9" x14ac:dyDescent="0.2">
      <c r="A8" s="17" t="s">
        <v>16</v>
      </c>
      <c r="B8" s="1">
        <v>6424000</v>
      </c>
      <c r="C8" s="1">
        <v>12160000</v>
      </c>
      <c r="D8" s="1">
        <v>1511000</v>
      </c>
      <c r="E8" s="1">
        <f t="shared" ref="E8:E18" si="0">SUM(C8,D8)</f>
        <v>13671000</v>
      </c>
      <c r="F8" s="1">
        <f t="shared" ref="F8:F18" si="1">SUM(B8:D8)</f>
        <v>20095000</v>
      </c>
      <c r="G8" s="1">
        <v>19419000</v>
      </c>
      <c r="I8" s="6"/>
    </row>
    <row r="9" spans="1:9" x14ac:dyDescent="0.2">
      <c r="A9" s="17" t="s">
        <v>17</v>
      </c>
      <c r="B9" s="1">
        <v>7074000</v>
      </c>
      <c r="C9" s="1">
        <v>12053000</v>
      </c>
      <c r="D9" s="1">
        <v>3340000</v>
      </c>
      <c r="E9" s="1">
        <f t="shared" si="0"/>
        <v>15393000</v>
      </c>
      <c r="F9" s="1">
        <f t="shared" si="1"/>
        <v>22467000</v>
      </c>
      <c r="G9" s="1">
        <v>21876000</v>
      </c>
      <c r="I9" s="6"/>
    </row>
    <row r="10" spans="1:9" x14ac:dyDescent="0.2">
      <c r="A10" s="17" t="s">
        <v>18</v>
      </c>
      <c r="B10" s="1">
        <v>6705000</v>
      </c>
      <c r="C10" s="1">
        <v>13032000</v>
      </c>
      <c r="D10" s="1">
        <v>1569000</v>
      </c>
      <c r="E10" s="1">
        <f t="shared" si="0"/>
        <v>14601000</v>
      </c>
      <c r="F10" s="1">
        <f t="shared" si="1"/>
        <v>21306000</v>
      </c>
      <c r="G10" s="1">
        <v>20778000</v>
      </c>
      <c r="I10" s="6"/>
    </row>
    <row r="11" spans="1:9" x14ac:dyDescent="0.2">
      <c r="A11" s="17" t="s">
        <v>19</v>
      </c>
      <c r="B11" s="1">
        <v>8017000</v>
      </c>
      <c r="C11" s="1">
        <v>7652000</v>
      </c>
      <c r="D11" s="1">
        <v>9596000</v>
      </c>
      <c r="E11" s="1">
        <f t="shared" si="0"/>
        <v>17248000</v>
      </c>
      <c r="F11" s="1">
        <f t="shared" si="1"/>
        <v>25265000</v>
      </c>
      <c r="G11" s="1">
        <v>24207000</v>
      </c>
      <c r="I11" s="6"/>
    </row>
    <row r="12" spans="1:9" x14ac:dyDescent="0.2">
      <c r="A12" s="17" t="s">
        <v>20</v>
      </c>
      <c r="B12" s="1">
        <v>8487000</v>
      </c>
      <c r="C12" s="1">
        <v>0</v>
      </c>
      <c r="D12" s="1">
        <v>17378000</v>
      </c>
      <c r="E12" s="1">
        <f t="shared" si="0"/>
        <v>17378000</v>
      </c>
      <c r="F12" s="1">
        <f t="shared" si="1"/>
        <v>25865000</v>
      </c>
      <c r="G12" s="1">
        <v>25402000</v>
      </c>
      <c r="I12" s="6"/>
    </row>
    <row r="13" spans="1:9" x14ac:dyDescent="0.2">
      <c r="A13" s="17" t="s">
        <v>21</v>
      </c>
      <c r="B13" s="1">
        <v>8616000</v>
      </c>
      <c r="C13" s="1">
        <v>0</v>
      </c>
      <c r="D13" s="1">
        <v>17637000</v>
      </c>
      <c r="E13" s="1">
        <f t="shared" si="0"/>
        <v>17637000</v>
      </c>
      <c r="F13" s="1">
        <f t="shared" si="1"/>
        <v>26253000</v>
      </c>
      <c r="G13" s="1">
        <v>25786000</v>
      </c>
      <c r="I13" s="6"/>
    </row>
    <row r="14" spans="1:9" x14ac:dyDescent="0.2">
      <c r="A14" s="17" t="s">
        <v>22</v>
      </c>
      <c r="B14" s="1">
        <v>8394000</v>
      </c>
      <c r="C14" s="1">
        <v>0</v>
      </c>
      <c r="D14" s="1">
        <v>17289000</v>
      </c>
      <c r="E14" s="1">
        <f t="shared" si="0"/>
        <v>17289000</v>
      </c>
      <c r="F14" s="1">
        <f t="shared" si="1"/>
        <v>25683000</v>
      </c>
      <c r="G14" s="1">
        <v>25145000</v>
      </c>
      <c r="I14" s="6"/>
    </row>
    <row r="15" spans="1:9" x14ac:dyDescent="0.2">
      <c r="A15" s="17" t="s">
        <v>23</v>
      </c>
      <c r="B15" s="1">
        <v>8194000</v>
      </c>
      <c r="C15" s="1">
        <v>0</v>
      </c>
      <c r="D15" s="1">
        <v>17484000</v>
      </c>
      <c r="E15" s="1">
        <f t="shared" si="0"/>
        <v>17484000</v>
      </c>
      <c r="F15" s="1">
        <f t="shared" si="1"/>
        <v>25678000</v>
      </c>
      <c r="G15" s="1">
        <v>24988000</v>
      </c>
      <c r="I15" s="6"/>
    </row>
    <row r="16" spans="1:9" x14ac:dyDescent="0.2">
      <c r="A16" s="17" t="s">
        <v>24</v>
      </c>
      <c r="B16" s="1">
        <v>7977000</v>
      </c>
      <c r="C16" s="1">
        <v>2517000</v>
      </c>
      <c r="D16" s="1">
        <v>14686000</v>
      </c>
      <c r="E16" s="1">
        <f t="shared" si="0"/>
        <v>17203000</v>
      </c>
      <c r="F16" s="1">
        <f t="shared" si="1"/>
        <v>25180000</v>
      </c>
      <c r="G16" s="1">
        <v>24478000</v>
      </c>
      <c r="I16" s="6"/>
    </row>
    <row r="17" spans="1:9" x14ac:dyDescent="0.2">
      <c r="A17" s="17" t="s">
        <v>25</v>
      </c>
      <c r="B17" s="1">
        <v>6519000</v>
      </c>
      <c r="C17" s="1">
        <v>12993000</v>
      </c>
      <c r="D17" s="1">
        <v>1941000</v>
      </c>
      <c r="E17" s="1">
        <f t="shared" si="0"/>
        <v>14934000</v>
      </c>
      <c r="F17" s="1">
        <f t="shared" si="1"/>
        <v>21453000</v>
      </c>
      <c r="G17" s="1">
        <v>20706000</v>
      </c>
      <c r="I17" s="6"/>
    </row>
    <row r="18" spans="1:9" x14ac:dyDescent="0.2">
      <c r="A18" s="17" t="s">
        <v>26</v>
      </c>
      <c r="B18" s="1">
        <v>6217000</v>
      </c>
      <c r="C18" s="1">
        <v>13126000</v>
      </c>
      <c r="D18" s="1">
        <v>1960000</v>
      </c>
      <c r="E18" s="1">
        <f t="shared" si="0"/>
        <v>15086000</v>
      </c>
      <c r="F18" s="1">
        <f t="shared" si="1"/>
        <v>21303000</v>
      </c>
      <c r="G18" s="1">
        <v>20868000</v>
      </c>
      <c r="I18" s="6"/>
    </row>
    <row r="19" spans="1:9" x14ac:dyDescent="0.2">
      <c r="A19" s="17"/>
      <c r="B19" s="1"/>
      <c r="C19" s="1"/>
      <c r="D19" s="1"/>
      <c r="E19" s="1"/>
      <c r="F19" s="1"/>
      <c r="G19" s="1"/>
      <c r="I19" s="6"/>
    </row>
    <row r="20" spans="1:9" ht="13.5" thickBot="1" x14ac:dyDescent="0.25">
      <c r="A20" s="31" t="s">
        <v>0</v>
      </c>
      <c r="B20" s="3">
        <f t="shared" ref="B20:G20" si="2">SUM(B7:B19)</f>
        <v>90267000</v>
      </c>
      <c r="C20" s="3">
        <f t="shared" si="2"/>
        <v>77490000</v>
      </c>
      <c r="D20" s="3">
        <f t="shared" si="2"/>
        <v>115035000</v>
      </c>
      <c r="E20" s="3">
        <f t="shared" si="2"/>
        <v>192525000</v>
      </c>
      <c r="F20" s="3">
        <f t="shared" si="2"/>
        <v>282792000</v>
      </c>
      <c r="G20" s="3">
        <f t="shared" si="2"/>
        <v>275339000</v>
      </c>
      <c r="H20" s="10"/>
      <c r="I20" s="7"/>
    </row>
    <row r="21" spans="1:9" ht="13.5" thickTop="1" x14ac:dyDescent="0.2">
      <c r="A21" s="30"/>
      <c r="B21" s="1"/>
      <c r="C21" s="1"/>
      <c r="D21" s="1"/>
      <c r="E21" s="1"/>
      <c r="F21" s="1"/>
      <c r="G21" s="1"/>
    </row>
    <row r="22" spans="1:9" ht="13.5" thickBot="1" x14ac:dyDescent="0.25">
      <c r="A22" s="31" t="s">
        <v>28</v>
      </c>
      <c r="B22" s="3"/>
      <c r="C22" s="3"/>
      <c r="D22" s="3">
        <f>B20</f>
        <v>90267000</v>
      </c>
      <c r="E22" s="3"/>
      <c r="F22" s="3"/>
      <c r="G22" s="3"/>
      <c r="H22" s="10"/>
      <c r="I22" s="7"/>
    </row>
    <row r="23" spans="1:9" ht="14.25" thickTop="1" thickBot="1" x14ac:dyDescent="0.25">
      <c r="A23" s="31" t="s">
        <v>27</v>
      </c>
      <c r="B23" s="3"/>
      <c r="C23" s="3"/>
      <c r="D23" s="3">
        <f>C20+D20</f>
        <v>192525000</v>
      </c>
      <c r="E23" s="3"/>
      <c r="F23" s="3"/>
      <c r="G23" s="3"/>
      <c r="H23" s="10"/>
      <c r="I23" s="7"/>
    </row>
    <row r="24" spans="1:9" ht="13.5" thickTop="1" x14ac:dyDescent="0.2">
      <c r="A24" s="30"/>
    </row>
    <row r="25" spans="1:9" x14ac:dyDescent="0.2">
      <c r="A25" s="30"/>
    </row>
    <row r="26" spans="1:9" ht="13.5" thickBot="1" x14ac:dyDescent="0.25">
      <c r="A26" s="32"/>
      <c r="B26" s="2"/>
      <c r="C26" s="2"/>
      <c r="D26" s="2"/>
      <c r="E26" s="2"/>
      <c r="F26" s="2"/>
      <c r="G26" s="2"/>
      <c r="H26" s="2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9B6F-3CE8-4E61-87D9-852AEC6E299C}">
  <dimension ref="A1:I26"/>
  <sheetViews>
    <sheetView workbookViewId="0">
      <selection sqref="A1:I26"/>
    </sheetView>
  </sheetViews>
  <sheetFormatPr defaultRowHeight="12.75" x14ac:dyDescent="0.2"/>
  <cols>
    <col min="1" max="1" width="27.7109375" customWidth="1"/>
    <col min="2" max="5" width="13.28515625" customWidth="1"/>
    <col min="6" max="6" width="14.7109375" customWidth="1"/>
    <col min="7" max="7" width="14.42578125" customWidth="1"/>
    <col min="8" max="8" width="17.7109375" customWidth="1"/>
  </cols>
  <sheetData>
    <row r="1" spans="1:9" ht="15" x14ac:dyDescent="0.25">
      <c r="A1" s="21" t="s">
        <v>4</v>
      </c>
      <c r="B1" s="26"/>
      <c r="C1" s="26"/>
      <c r="D1" s="26"/>
      <c r="E1" s="26"/>
      <c r="F1" s="26"/>
      <c r="G1" s="26"/>
      <c r="H1" s="26"/>
      <c r="I1" s="8"/>
    </row>
    <row r="2" spans="1:9" ht="15" x14ac:dyDescent="0.25">
      <c r="A2" s="23" t="s">
        <v>47</v>
      </c>
      <c r="B2" s="27"/>
      <c r="C2" s="27"/>
      <c r="D2" s="27"/>
      <c r="E2" s="27"/>
      <c r="F2" s="27"/>
      <c r="G2" s="27"/>
      <c r="H2" s="27"/>
      <c r="I2" s="8"/>
    </row>
    <row r="3" spans="1:9" ht="15" x14ac:dyDescent="0.25">
      <c r="A3" s="14"/>
      <c r="B3" s="28" t="s">
        <v>5</v>
      </c>
      <c r="C3" s="28" t="s">
        <v>5</v>
      </c>
      <c r="D3" s="28" t="s">
        <v>5</v>
      </c>
      <c r="E3" s="33" t="s">
        <v>33</v>
      </c>
      <c r="F3" s="28" t="s">
        <v>11</v>
      </c>
      <c r="G3" s="28" t="s">
        <v>14</v>
      </c>
      <c r="H3" s="28"/>
      <c r="I3" s="8"/>
    </row>
    <row r="4" spans="1:9" ht="15" x14ac:dyDescent="0.25">
      <c r="A4" s="14"/>
      <c r="B4" s="28" t="s">
        <v>6</v>
      </c>
      <c r="C4" s="28" t="s">
        <v>8</v>
      </c>
      <c r="D4" s="28" t="s">
        <v>8</v>
      </c>
      <c r="E4" s="28" t="s">
        <v>0</v>
      </c>
      <c r="F4" s="28" t="s">
        <v>12</v>
      </c>
      <c r="G4" s="28" t="s">
        <v>12</v>
      </c>
      <c r="H4" s="28"/>
      <c r="I4" s="8"/>
    </row>
    <row r="5" spans="1:9" ht="15" x14ac:dyDescent="0.25">
      <c r="A5" s="15"/>
      <c r="B5" s="29" t="s">
        <v>7</v>
      </c>
      <c r="C5" s="29" t="s">
        <v>9</v>
      </c>
      <c r="D5" s="29" t="s">
        <v>10</v>
      </c>
      <c r="E5" s="29" t="s">
        <v>34</v>
      </c>
      <c r="F5" s="29" t="s">
        <v>13</v>
      </c>
      <c r="G5" s="29" t="s">
        <v>13</v>
      </c>
      <c r="H5" s="29"/>
      <c r="I5" s="9"/>
    </row>
    <row r="6" spans="1:9" x14ac:dyDescent="0.2">
      <c r="A6" s="30" t="s">
        <v>2</v>
      </c>
      <c r="B6" s="1"/>
      <c r="C6" s="1"/>
      <c r="D6" s="1"/>
      <c r="E6" s="1"/>
      <c r="F6" s="1"/>
      <c r="G6" s="1"/>
    </row>
    <row r="7" spans="1:9" x14ac:dyDescent="0.2">
      <c r="A7" s="17" t="s">
        <v>15</v>
      </c>
      <c r="B7" s="1">
        <v>6236000</v>
      </c>
      <c r="C7" s="1">
        <v>8070000</v>
      </c>
      <c r="D7" s="1">
        <v>6447000</v>
      </c>
      <c r="E7" s="1">
        <f>SUM(C7,D7)</f>
        <v>14517000</v>
      </c>
      <c r="F7" s="1">
        <f>SUM(B7:D7)</f>
        <v>20753000</v>
      </c>
      <c r="G7" s="1">
        <v>20009000</v>
      </c>
      <c r="I7" s="5"/>
    </row>
    <row r="8" spans="1:9" x14ac:dyDescent="0.2">
      <c r="A8" s="17" t="s">
        <v>16</v>
      </c>
      <c r="B8" s="1">
        <v>6121000</v>
      </c>
      <c r="C8" s="1">
        <v>14624000</v>
      </c>
      <c r="D8" s="1">
        <v>1000</v>
      </c>
      <c r="E8" s="1">
        <f t="shared" ref="E8:E18" si="0">SUM(C8,D8)</f>
        <v>14625000</v>
      </c>
      <c r="F8" s="1">
        <f t="shared" ref="F8:F18" si="1">SUM(B8:D8)</f>
        <v>20746000</v>
      </c>
      <c r="G8" s="1">
        <v>20148000</v>
      </c>
      <c r="I8" s="6"/>
    </row>
    <row r="9" spans="1:9" x14ac:dyDescent="0.2">
      <c r="A9" s="17" t="s">
        <v>17</v>
      </c>
      <c r="B9" s="1">
        <v>6426000</v>
      </c>
      <c r="C9" s="1">
        <v>14861000</v>
      </c>
      <c r="D9" s="1">
        <v>0</v>
      </c>
      <c r="E9" s="1">
        <f t="shared" si="0"/>
        <v>14861000</v>
      </c>
      <c r="F9" s="1">
        <f t="shared" si="1"/>
        <v>21287000</v>
      </c>
      <c r="G9" s="1">
        <v>20823000</v>
      </c>
      <c r="I9" s="6"/>
    </row>
    <row r="10" spans="1:9" x14ac:dyDescent="0.2">
      <c r="A10" s="17" t="s">
        <v>18</v>
      </c>
      <c r="B10" s="1">
        <v>6458000</v>
      </c>
      <c r="C10" s="1">
        <v>10965000</v>
      </c>
      <c r="D10" s="1">
        <v>3564000</v>
      </c>
      <c r="E10" s="1">
        <f t="shared" si="0"/>
        <v>14529000</v>
      </c>
      <c r="F10" s="1">
        <f t="shared" si="1"/>
        <v>20987000</v>
      </c>
      <c r="G10" s="1">
        <v>20532000</v>
      </c>
      <c r="I10" s="6"/>
    </row>
    <row r="11" spans="1:9" x14ac:dyDescent="0.2">
      <c r="A11" s="17" t="s">
        <v>19</v>
      </c>
      <c r="B11" s="1">
        <v>8230000</v>
      </c>
      <c r="C11" s="1">
        <v>0</v>
      </c>
      <c r="D11" s="1">
        <v>16931000</v>
      </c>
      <c r="E11" s="1">
        <f t="shared" si="0"/>
        <v>16931000</v>
      </c>
      <c r="F11" s="1">
        <f t="shared" si="1"/>
        <v>25161000</v>
      </c>
      <c r="G11" s="1">
        <v>24690000</v>
      </c>
      <c r="I11" s="6"/>
    </row>
    <row r="12" spans="1:9" x14ac:dyDescent="0.2">
      <c r="A12" s="17" t="s">
        <v>20</v>
      </c>
      <c r="B12" s="1">
        <v>9277000</v>
      </c>
      <c r="C12" s="1">
        <v>0</v>
      </c>
      <c r="D12" s="1">
        <v>19296000</v>
      </c>
      <c r="E12" s="1">
        <f t="shared" si="0"/>
        <v>19296000</v>
      </c>
      <c r="F12" s="1">
        <f t="shared" si="1"/>
        <v>28573000</v>
      </c>
      <c r="G12" s="1">
        <v>27410000</v>
      </c>
      <c r="I12" s="6"/>
    </row>
    <row r="13" spans="1:9" x14ac:dyDescent="0.2">
      <c r="A13" s="17" t="s">
        <v>21</v>
      </c>
      <c r="B13" s="1">
        <v>8685000</v>
      </c>
      <c r="C13" s="1">
        <v>0</v>
      </c>
      <c r="D13" s="1">
        <v>18547000</v>
      </c>
      <c r="E13" s="1">
        <f t="shared" si="0"/>
        <v>18547000</v>
      </c>
      <c r="F13" s="1">
        <f t="shared" si="1"/>
        <v>27232000</v>
      </c>
      <c r="G13" s="1">
        <v>26628000</v>
      </c>
      <c r="I13" s="6"/>
    </row>
    <row r="14" spans="1:9" x14ac:dyDescent="0.2">
      <c r="A14" s="17" t="s">
        <v>22</v>
      </c>
      <c r="B14" s="1">
        <v>9030000</v>
      </c>
      <c r="C14" s="1">
        <v>0</v>
      </c>
      <c r="D14" s="1">
        <v>19364000</v>
      </c>
      <c r="E14" s="1">
        <f t="shared" si="0"/>
        <v>19364000</v>
      </c>
      <c r="F14" s="1">
        <f t="shared" si="1"/>
        <v>28394000</v>
      </c>
      <c r="G14" s="1">
        <v>27788000</v>
      </c>
      <c r="I14" s="6"/>
    </row>
    <row r="15" spans="1:9" x14ac:dyDescent="0.2">
      <c r="A15" s="17" t="s">
        <v>23</v>
      </c>
      <c r="B15" s="1">
        <v>8476000</v>
      </c>
      <c r="C15" s="1">
        <v>0</v>
      </c>
      <c r="D15" s="1">
        <v>18273000</v>
      </c>
      <c r="E15" s="1">
        <f t="shared" si="0"/>
        <v>18273000</v>
      </c>
      <c r="F15" s="1">
        <f t="shared" si="1"/>
        <v>26749000</v>
      </c>
      <c r="G15" s="1">
        <v>24876000</v>
      </c>
      <c r="I15" s="6"/>
    </row>
    <row r="16" spans="1:9" x14ac:dyDescent="0.2">
      <c r="A16" s="17" t="s">
        <v>24</v>
      </c>
      <c r="B16" s="1">
        <v>7412000</v>
      </c>
      <c r="C16" s="1">
        <v>3751000</v>
      </c>
      <c r="D16" s="1">
        <v>12287000</v>
      </c>
      <c r="E16" s="1">
        <f t="shared" si="0"/>
        <v>16038000</v>
      </c>
      <c r="F16" s="1">
        <f t="shared" si="1"/>
        <v>23450000</v>
      </c>
      <c r="G16" s="1">
        <v>22701000</v>
      </c>
      <c r="I16" s="6"/>
    </row>
    <row r="17" spans="1:9" x14ac:dyDescent="0.2">
      <c r="A17" s="17" t="s">
        <v>25</v>
      </c>
      <c r="B17" s="1">
        <v>6283000</v>
      </c>
      <c r="C17" s="1">
        <v>13350000</v>
      </c>
      <c r="D17" s="1">
        <v>1536000</v>
      </c>
      <c r="E17" s="1">
        <f t="shared" si="0"/>
        <v>14886000</v>
      </c>
      <c r="F17" s="1">
        <f t="shared" si="1"/>
        <v>21169000</v>
      </c>
      <c r="G17" s="1">
        <v>20697000</v>
      </c>
      <c r="I17" s="6"/>
    </row>
    <row r="18" spans="1:9" x14ac:dyDescent="0.2">
      <c r="A18" s="17" t="s">
        <v>26</v>
      </c>
      <c r="B18" s="1">
        <v>6373000</v>
      </c>
      <c r="C18" s="1">
        <v>15027000</v>
      </c>
      <c r="D18" s="1">
        <v>0</v>
      </c>
      <c r="E18" s="1">
        <f t="shared" si="0"/>
        <v>15027000</v>
      </c>
      <c r="F18" s="1">
        <f t="shared" si="1"/>
        <v>21400000</v>
      </c>
      <c r="G18" s="1">
        <v>20826000</v>
      </c>
      <c r="I18" s="6"/>
    </row>
    <row r="19" spans="1:9" x14ac:dyDescent="0.2">
      <c r="A19" s="17"/>
      <c r="B19" s="1"/>
      <c r="C19" s="1"/>
      <c r="D19" s="1"/>
      <c r="E19" s="1"/>
      <c r="F19" s="1"/>
      <c r="G19" s="1"/>
      <c r="I19" s="6"/>
    </row>
    <row r="20" spans="1:9" ht="13.5" thickBot="1" x14ac:dyDescent="0.25">
      <c r="A20" s="31" t="s">
        <v>0</v>
      </c>
      <c r="B20" s="3">
        <f t="shared" ref="B20:G20" si="2">SUM(B7:B19)</f>
        <v>89007000</v>
      </c>
      <c r="C20" s="3">
        <f t="shared" si="2"/>
        <v>80648000</v>
      </c>
      <c r="D20" s="3">
        <f t="shared" si="2"/>
        <v>116246000</v>
      </c>
      <c r="E20" s="3">
        <f t="shared" si="2"/>
        <v>196894000</v>
      </c>
      <c r="F20" s="3">
        <f t="shared" si="2"/>
        <v>285901000</v>
      </c>
      <c r="G20" s="3">
        <f t="shared" si="2"/>
        <v>277128000</v>
      </c>
      <c r="H20" s="10"/>
      <c r="I20" s="7"/>
    </row>
    <row r="21" spans="1:9" ht="13.5" thickTop="1" x14ac:dyDescent="0.2">
      <c r="A21" s="30"/>
      <c r="B21" s="1"/>
      <c r="C21" s="1"/>
      <c r="D21" s="1"/>
      <c r="E21" s="1"/>
      <c r="F21" s="1"/>
      <c r="G21" s="1"/>
    </row>
    <row r="22" spans="1:9" ht="13.5" thickBot="1" x14ac:dyDescent="0.25">
      <c r="A22" s="31" t="s">
        <v>28</v>
      </c>
      <c r="B22" s="3"/>
      <c r="C22" s="3"/>
      <c r="D22" s="3">
        <f>B20</f>
        <v>89007000</v>
      </c>
      <c r="E22" s="3"/>
      <c r="F22" s="3"/>
      <c r="G22" s="3"/>
      <c r="H22" s="10"/>
      <c r="I22" s="7"/>
    </row>
    <row r="23" spans="1:9" ht="14.25" thickTop="1" thickBot="1" x14ac:dyDescent="0.25">
      <c r="A23" s="31" t="s">
        <v>27</v>
      </c>
      <c r="B23" s="3"/>
      <c r="C23" s="3"/>
      <c r="D23" s="3">
        <f>C20+D20</f>
        <v>196894000</v>
      </c>
      <c r="E23" s="3"/>
      <c r="F23" s="3"/>
      <c r="G23" s="3"/>
      <c r="H23" s="10"/>
      <c r="I23" s="7"/>
    </row>
    <row r="24" spans="1:9" ht="13.5" thickTop="1" x14ac:dyDescent="0.2">
      <c r="A24" s="30"/>
    </row>
    <row r="25" spans="1:9" x14ac:dyDescent="0.2">
      <c r="A25" s="30"/>
    </row>
    <row r="26" spans="1:9" ht="13.5" thickBot="1" x14ac:dyDescent="0.25">
      <c r="A26" s="32"/>
      <c r="B26" s="2"/>
      <c r="C26" s="2"/>
      <c r="D26" s="2"/>
      <c r="E26" s="2"/>
      <c r="F26" s="2"/>
      <c r="G26" s="2"/>
      <c r="H26" s="2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84D5-DF2C-4BEE-89EB-C3A83965EE62}">
  <dimension ref="A1:I26"/>
  <sheetViews>
    <sheetView workbookViewId="0">
      <selection activeCell="L15" sqref="L15"/>
    </sheetView>
  </sheetViews>
  <sheetFormatPr defaultRowHeight="12.75" x14ac:dyDescent="0.2"/>
  <cols>
    <col min="1" max="1" width="27.7109375" customWidth="1"/>
    <col min="2" max="5" width="13.28515625" customWidth="1"/>
    <col min="6" max="6" width="14.7109375" customWidth="1"/>
    <col min="7" max="7" width="14.42578125" customWidth="1"/>
    <col min="8" max="8" width="17.7109375" customWidth="1"/>
  </cols>
  <sheetData>
    <row r="1" spans="1:9" ht="15" x14ac:dyDescent="0.25">
      <c r="A1" s="21" t="s">
        <v>4</v>
      </c>
      <c r="B1" s="26"/>
      <c r="C1" s="26"/>
      <c r="D1" s="26"/>
      <c r="E1" s="26"/>
      <c r="F1" s="26"/>
      <c r="G1" s="26"/>
      <c r="H1" s="26"/>
      <c r="I1" s="8"/>
    </row>
    <row r="2" spans="1:9" ht="15" x14ac:dyDescent="0.25">
      <c r="A2" s="23" t="s">
        <v>48</v>
      </c>
      <c r="B2" s="27"/>
      <c r="C2" s="27"/>
      <c r="D2" s="27"/>
      <c r="E2" s="27"/>
      <c r="F2" s="27"/>
      <c r="G2" s="27"/>
      <c r="H2" s="27"/>
      <c r="I2" s="8"/>
    </row>
    <row r="3" spans="1:9" ht="15" x14ac:dyDescent="0.25">
      <c r="A3" s="14"/>
      <c r="B3" s="28" t="s">
        <v>5</v>
      </c>
      <c r="C3" s="28" t="s">
        <v>5</v>
      </c>
      <c r="D3" s="28" t="s">
        <v>5</v>
      </c>
      <c r="E3" s="33" t="s">
        <v>33</v>
      </c>
      <c r="F3" s="28" t="s">
        <v>11</v>
      </c>
      <c r="G3" s="28" t="s">
        <v>14</v>
      </c>
      <c r="H3" s="28"/>
      <c r="I3" s="8"/>
    </row>
    <row r="4" spans="1:9" ht="15" x14ac:dyDescent="0.25">
      <c r="A4" s="14"/>
      <c r="B4" s="28" t="s">
        <v>6</v>
      </c>
      <c r="C4" s="28" t="s">
        <v>8</v>
      </c>
      <c r="D4" s="28" t="s">
        <v>8</v>
      </c>
      <c r="E4" s="28" t="s">
        <v>0</v>
      </c>
      <c r="F4" s="28" t="s">
        <v>12</v>
      </c>
      <c r="G4" s="28" t="s">
        <v>12</v>
      </c>
      <c r="H4" s="28"/>
      <c r="I4" s="8"/>
    </row>
    <row r="5" spans="1:9" ht="15" x14ac:dyDescent="0.25">
      <c r="A5" s="15"/>
      <c r="B5" s="29" t="s">
        <v>7</v>
      </c>
      <c r="C5" s="29" t="s">
        <v>9</v>
      </c>
      <c r="D5" s="29" t="s">
        <v>10</v>
      </c>
      <c r="E5" s="29" t="s">
        <v>34</v>
      </c>
      <c r="F5" s="29" t="s">
        <v>13</v>
      </c>
      <c r="G5" s="29" t="s">
        <v>13</v>
      </c>
      <c r="H5" s="29"/>
      <c r="I5" s="9"/>
    </row>
    <row r="6" spans="1:9" x14ac:dyDescent="0.2">
      <c r="A6" s="30" t="s">
        <v>2</v>
      </c>
      <c r="B6" s="1"/>
      <c r="C6" s="1"/>
      <c r="D6" s="1"/>
      <c r="E6" s="1"/>
      <c r="F6" s="1"/>
      <c r="G6" s="1"/>
    </row>
    <row r="7" spans="1:9" x14ac:dyDescent="0.2">
      <c r="A7" s="17" t="s">
        <v>15</v>
      </c>
      <c r="B7" s="1">
        <v>6675000</v>
      </c>
      <c r="C7" s="1">
        <v>14611000</v>
      </c>
      <c r="D7" s="1">
        <v>1022000</v>
      </c>
      <c r="E7" s="1">
        <f>SUM(C7,D7)</f>
        <v>15633000</v>
      </c>
      <c r="F7" s="1">
        <f>SUM(B7:D7)</f>
        <v>22308000</v>
      </c>
      <c r="G7" s="1">
        <v>21603000</v>
      </c>
      <c r="I7" s="5"/>
    </row>
    <row r="8" spans="1:9" x14ac:dyDescent="0.2">
      <c r="A8" s="17" t="s">
        <v>16</v>
      </c>
      <c r="B8" s="1">
        <v>6306000</v>
      </c>
      <c r="C8" s="1">
        <v>11780000</v>
      </c>
      <c r="D8" s="1">
        <v>2772000</v>
      </c>
      <c r="E8" s="1">
        <f t="shared" ref="E8:E18" si="0">SUM(C8,D8)</f>
        <v>14552000</v>
      </c>
      <c r="F8" s="1">
        <f t="shared" ref="F8:F18" si="1">SUM(B8:D8)</f>
        <v>20858000</v>
      </c>
      <c r="G8" s="1">
        <v>20342000</v>
      </c>
      <c r="I8" s="6"/>
    </row>
    <row r="9" spans="1:9" x14ac:dyDescent="0.2">
      <c r="A9" s="17" t="s">
        <v>17</v>
      </c>
      <c r="B9" s="1">
        <v>7125000</v>
      </c>
      <c r="C9" s="1">
        <v>0</v>
      </c>
      <c r="D9" s="1">
        <v>15662000</v>
      </c>
      <c r="E9" s="1">
        <f t="shared" si="0"/>
        <v>15662000</v>
      </c>
      <c r="F9" s="1">
        <f t="shared" si="1"/>
        <v>22787000</v>
      </c>
      <c r="G9" s="1">
        <v>22471000</v>
      </c>
      <c r="I9" s="6"/>
    </row>
    <row r="10" spans="1:9" x14ac:dyDescent="0.2">
      <c r="A10" s="17" t="s">
        <v>18</v>
      </c>
      <c r="B10" s="1">
        <v>7040000</v>
      </c>
      <c r="C10" s="1">
        <v>0</v>
      </c>
      <c r="D10" s="1">
        <v>14988000</v>
      </c>
      <c r="E10" s="1">
        <f t="shared" si="0"/>
        <v>14988000</v>
      </c>
      <c r="F10" s="1">
        <f t="shared" si="1"/>
        <v>22028000</v>
      </c>
      <c r="G10" s="1">
        <v>21661000</v>
      </c>
      <c r="I10" s="6"/>
    </row>
    <row r="11" spans="1:9" x14ac:dyDescent="0.2">
      <c r="A11" s="17" t="s">
        <v>19</v>
      </c>
      <c r="B11" s="1">
        <v>8832000</v>
      </c>
      <c r="C11" s="1">
        <v>0</v>
      </c>
      <c r="D11" s="1">
        <v>18639000</v>
      </c>
      <c r="E11" s="1">
        <f t="shared" si="0"/>
        <v>18639000</v>
      </c>
      <c r="F11" s="1">
        <f t="shared" si="1"/>
        <v>27471000</v>
      </c>
      <c r="G11" s="1">
        <v>26771000</v>
      </c>
      <c r="I11" s="6"/>
    </row>
    <row r="12" spans="1:9" x14ac:dyDescent="0.2">
      <c r="A12" s="17" t="s">
        <v>20</v>
      </c>
      <c r="B12" s="1">
        <v>6299000</v>
      </c>
      <c r="C12" s="1">
        <v>9003000</v>
      </c>
      <c r="D12" s="1">
        <v>19393000</v>
      </c>
      <c r="E12" s="1">
        <f t="shared" si="0"/>
        <v>28396000</v>
      </c>
      <c r="F12" s="1">
        <f t="shared" si="1"/>
        <v>34695000</v>
      </c>
      <c r="G12" s="1">
        <v>34000000</v>
      </c>
      <c r="I12" s="6"/>
    </row>
    <row r="13" spans="1:9" x14ac:dyDescent="0.2">
      <c r="A13" s="17" t="s">
        <v>21</v>
      </c>
      <c r="B13" s="1"/>
      <c r="C13" s="1">
        <v>17285000</v>
      </c>
      <c r="D13" s="1">
        <v>13593000</v>
      </c>
      <c r="E13" s="1">
        <f t="shared" si="0"/>
        <v>30878000</v>
      </c>
      <c r="F13" s="1">
        <f t="shared" si="1"/>
        <v>30878000</v>
      </c>
      <c r="G13" s="1">
        <v>29925000</v>
      </c>
      <c r="I13" s="6"/>
    </row>
    <row r="14" spans="1:9" x14ac:dyDescent="0.2">
      <c r="A14" s="17" t="s">
        <v>22</v>
      </c>
      <c r="B14" s="1"/>
      <c r="C14" s="1">
        <v>16361000</v>
      </c>
      <c r="D14" s="1">
        <v>13045000</v>
      </c>
      <c r="E14" s="1">
        <f t="shared" si="0"/>
        <v>29406000</v>
      </c>
      <c r="F14" s="1">
        <f t="shared" si="1"/>
        <v>29406000</v>
      </c>
      <c r="G14" s="1">
        <v>28617000</v>
      </c>
      <c r="I14" s="6"/>
    </row>
    <row r="15" spans="1:9" x14ac:dyDescent="0.2">
      <c r="A15" s="17" t="s">
        <v>23</v>
      </c>
      <c r="B15" s="1">
        <v>664000</v>
      </c>
      <c r="C15" s="1">
        <v>13439000</v>
      </c>
      <c r="D15" s="1">
        <v>12219000</v>
      </c>
      <c r="E15" s="1">
        <f t="shared" si="0"/>
        <v>25658000</v>
      </c>
      <c r="F15" s="1">
        <f t="shared" si="1"/>
        <v>26322000</v>
      </c>
      <c r="G15" s="1">
        <v>25224000</v>
      </c>
      <c r="I15" s="6"/>
    </row>
    <row r="16" spans="1:9" x14ac:dyDescent="0.2">
      <c r="A16" s="17" t="s">
        <v>24</v>
      </c>
      <c r="B16" s="1">
        <v>7783000</v>
      </c>
      <c r="C16" s="1">
        <v>148000</v>
      </c>
      <c r="D16" s="1">
        <v>15872000</v>
      </c>
      <c r="E16" s="1">
        <f t="shared" si="0"/>
        <v>16020000</v>
      </c>
      <c r="F16" s="1">
        <f t="shared" si="1"/>
        <v>23803000</v>
      </c>
      <c r="G16" s="1">
        <v>23023000</v>
      </c>
      <c r="I16" s="6"/>
    </row>
    <row r="17" spans="1:9" x14ac:dyDescent="0.2">
      <c r="A17" s="17" t="s">
        <v>25</v>
      </c>
      <c r="B17" s="1">
        <v>6738000</v>
      </c>
      <c r="C17" s="1">
        <v>8890000</v>
      </c>
      <c r="D17" s="1">
        <v>5538000</v>
      </c>
      <c r="E17" s="1">
        <f t="shared" si="0"/>
        <v>14428000</v>
      </c>
      <c r="F17" s="1">
        <f t="shared" si="1"/>
        <v>21166000</v>
      </c>
      <c r="G17" s="1">
        <v>20386000</v>
      </c>
      <c r="I17" s="6"/>
    </row>
    <row r="18" spans="1:9" x14ac:dyDescent="0.2">
      <c r="A18" s="17" t="s">
        <v>26</v>
      </c>
      <c r="B18" s="1">
        <v>6435000</v>
      </c>
      <c r="C18" s="1">
        <v>14778000</v>
      </c>
      <c r="D18" s="1">
        <v>0</v>
      </c>
      <c r="E18" s="1">
        <f t="shared" si="0"/>
        <v>14778000</v>
      </c>
      <c r="F18" s="1">
        <f t="shared" si="1"/>
        <v>21213000</v>
      </c>
      <c r="G18" s="1">
        <v>20709000</v>
      </c>
      <c r="I18" s="6"/>
    </row>
    <row r="19" spans="1:9" x14ac:dyDescent="0.2">
      <c r="A19" s="17"/>
      <c r="B19" s="1"/>
      <c r="C19" s="1"/>
      <c r="D19" s="1"/>
      <c r="E19" s="1"/>
      <c r="F19" s="1"/>
      <c r="G19" s="1"/>
      <c r="I19" s="6"/>
    </row>
    <row r="20" spans="1:9" ht="13.5" thickBot="1" x14ac:dyDescent="0.25">
      <c r="A20" s="31" t="s">
        <v>0</v>
      </c>
      <c r="B20" s="3">
        <f t="shared" ref="B20:G20" si="2">SUM(B7:B19)</f>
        <v>63897000</v>
      </c>
      <c r="C20" s="3">
        <f t="shared" si="2"/>
        <v>106295000</v>
      </c>
      <c r="D20" s="3">
        <f t="shared" si="2"/>
        <v>132743000</v>
      </c>
      <c r="E20" s="3">
        <f t="shared" si="2"/>
        <v>239038000</v>
      </c>
      <c r="F20" s="3">
        <f t="shared" si="2"/>
        <v>302935000</v>
      </c>
      <c r="G20" s="3">
        <f t="shared" si="2"/>
        <v>294732000</v>
      </c>
      <c r="H20" s="10"/>
      <c r="I20" s="7"/>
    </row>
    <row r="21" spans="1:9" ht="13.5" thickTop="1" x14ac:dyDescent="0.2">
      <c r="A21" s="30"/>
      <c r="B21" s="1"/>
      <c r="C21" s="1"/>
      <c r="D21" s="1"/>
      <c r="E21" s="1"/>
      <c r="F21" s="1"/>
      <c r="G21" s="1"/>
    </row>
    <row r="22" spans="1:9" ht="13.5" thickBot="1" x14ac:dyDescent="0.25">
      <c r="A22" s="31" t="s">
        <v>28</v>
      </c>
      <c r="B22" s="3"/>
      <c r="C22" s="3"/>
      <c r="D22" s="3">
        <f>B20</f>
        <v>63897000</v>
      </c>
      <c r="E22" s="3"/>
      <c r="F22" s="3"/>
      <c r="G22" s="3"/>
      <c r="H22" s="10"/>
      <c r="I22" s="7"/>
    </row>
    <row r="23" spans="1:9" ht="14.25" thickTop="1" thickBot="1" x14ac:dyDescent="0.25">
      <c r="A23" s="31" t="s">
        <v>27</v>
      </c>
      <c r="B23" s="3"/>
      <c r="C23" s="3"/>
      <c r="D23" s="3">
        <f>C20+D20</f>
        <v>239038000</v>
      </c>
      <c r="E23" s="3"/>
      <c r="F23" s="3"/>
      <c r="G23" s="3"/>
      <c r="H23" s="10"/>
      <c r="I23" s="7"/>
    </row>
    <row r="24" spans="1:9" ht="13.5" thickTop="1" x14ac:dyDescent="0.2">
      <c r="A24" s="30"/>
    </row>
    <row r="25" spans="1:9" x14ac:dyDescent="0.2">
      <c r="A25" s="30"/>
    </row>
    <row r="26" spans="1:9" ht="13.5" thickBot="1" x14ac:dyDescent="0.25">
      <c r="A26" s="32"/>
      <c r="B26" s="2"/>
      <c r="C26" s="2"/>
      <c r="D26" s="2"/>
      <c r="E26" s="2"/>
      <c r="F26" s="2"/>
      <c r="G26" s="2"/>
      <c r="H26" s="2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D0C2-0AA5-4051-A768-ED22D667EFFA}">
  <dimension ref="A1:I26"/>
  <sheetViews>
    <sheetView workbookViewId="0">
      <selection sqref="A1:I26"/>
    </sheetView>
  </sheetViews>
  <sheetFormatPr defaultRowHeight="12.75" x14ac:dyDescent="0.2"/>
  <cols>
    <col min="1" max="1" width="27.7109375" customWidth="1"/>
    <col min="2" max="5" width="13.28515625" customWidth="1"/>
    <col min="6" max="6" width="14.7109375" customWidth="1"/>
    <col min="7" max="7" width="14.42578125" customWidth="1"/>
    <col min="8" max="8" width="17.7109375" customWidth="1"/>
  </cols>
  <sheetData>
    <row r="1" spans="1:9" ht="15" x14ac:dyDescent="0.25">
      <c r="A1" s="21" t="s">
        <v>4</v>
      </c>
      <c r="B1" s="26"/>
      <c r="C1" s="26"/>
      <c r="D1" s="26"/>
      <c r="E1" s="26"/>
      <c r="F1" s="26"/>
      <c r="G1" s="26"/>
      <c r="H1" s="26"/>
      <c r="I1" s="8"/>
    </row>
    <row r="2" spans="1:9" ht="15" x14ac:dyDescent="0.25">
      <c r="A2" s="23" t="s">
        <v>49</v>
      </c>
      <c r="B2" s="27"/>
      <c r="C2" s="27"/>
      <c r="D2" s="27"/>
      <c r="E2" s="27"/>
      <c r="F2" s="27"/>
      <c r="G2" s="27"/>
      <c r="H2" s="27"/>
      <c r="I2" s="8"/>
    </row>
    <row r="3" spans="1:9" ht="15" x14ac:dyDescent="0.25">
      <c r="A3" s="14"/>
      <c r="B3" s="28" t="s">
        <v>5</v>
      </c>
      <c r="C3" s="28" t="s">
        <v>5</v>
      </c>
      <c r="D3" s="28" t="s">
        <v>5</v>
      </c>
      <c r="E3" s="33" t="s">
        <v>33</v>
      </c>
      <c r="F3" s="28" t="s">
        <v>11</v>
      </c>
      <c r="G3" s="28" t="s">
        <v>14</v>
      </c>
      <c r="H3" s="28"/>
      <c r="I3" s="8"/>
    </row>
    <row r="4" spans="1:9" ht="15" x14ac:dyDescent="0.25">
      <c r="A4" s="14"/>
      <c r="B4" s="28" t="s">
        <v>6</v>
      </c>
      <c r="C4" s="28" t="s">
        <v>8</v>
      </c>
      <c r="D4" s="28" t="s">
        <v>8</v>
      </c>
      <c r="E4" s="28" t="s">
        <v>0</v>
      </c>
      <c r="F4" s="28" t="s">
        <v>12</v>
      </c>
      <c r="G4" s="28" t="s">
        <v>12</v>
      </c>
      <c r="H4" s="28"/>
      <c r="I4" s="8"/>
    </row>
    <row r="5" spans="1:9" ht="15" x14ac:dyDescent="0.25">
      <c r="A5" s="15"/>
      <c r="B5" s="29" t="s">
        <v>7</v>
      </c>
      <c r="C5" s="29" t="s">
        <v>9</v>
      </c>
      <c r="D5" s="29" t="s">
        <v>10</v>
      </c>
      <c r="E5" s="29" t="s">
        <v>34</v>
      </c>
      <c r="F5" s="29" t="s">
        <v>13</v>
      </c>
      <c r="G5" s="29" t="s">
        <v>13</v>
      </c>
      <c r="H5" s="29"/>
      <c r="I5" s="9"/>
    </row>
    <row r="6" spans="1:9" x14ac:dyDescent="0.2">
      <c r="A6" s="30" t="s">
        <v>2</v>
      </c>
      <c r="B6" s="1"/>
      <c r="C6" s="1"/>
      <c r="D6" s="1"/>
      <c r="E6" s="1"/>
      <c r="F6" s="1"/>
      <c r="G6" s="1"/>
    </row>
    <row r="7" spans="1:9" x14ac:dyDescent="0.2">
      <c r="A7" s="17" t="s">
        <v>15</v>
      </c>
      <c r="B7" s="1">
        <v>6876000</v>
      </c>
      <c r="C7" s="1">
        <v>14524000</v>
      </c>
      <c r="D7" s="1">
        <v>0</v>
      </c>
      <c r="E7" s="1">
        <f>SUM(C7,D7)</f>
        <v>14524000</v>
      </c>
      <c r="F7" s="1">
        <f>SUM(B7:D7)</f>
        <v>21400000</v>
      </c>
      <c r="G7" s="1">
        <v>20930000</v>
      </c>
      <c r="I7" s="5"/>
    </row>
    <row r="8" spans="1:9" x14ac:dyDescent="0.2">
      <c r="A8" s="17" t="s">
        <v>16</v>
      </c>
      <c r="B8" s="1">
        <v>6274000</v>
      </c>
      <c r="C8" s="1">
        <v>13634000</v>
      </c>
      <c r="D8" s="1">
        <v>0</v>
      </c>
      <c r="E8" s="1">
        <f t="shared" ref="E8:E18" si="0">SUM(C8,D8)</f>
        <v>13634000</v>
      </c>
      <c r="F8" s="1">
        <f t="shared" ref="F8:F18" si="1">SUM(B8:D8)</f>
        <v>19908000</v>
      </c>
      <c r="G8" s="1">
        <v>19417000</v>
      </c>
      <c r="I8" s="6"/>
    </row>
    <row r="9" spans="1:9" x14ac:dyDescent="0.2">
      <c r="A9" s="17" t="s">
        <v>17</v>
      </c>
      <c r="B9" s="1">
        <v>7566000</v>
      </c>
      <c r="C9" s="1">
        <v>15249000</v>
      </c>
      <c r="D9" s="1">
        <v>0</v>
      </c>
      <c r="E9" s="1">
        <f t="shared" si="0"/>
        <v>15249000</v>
      </c>
      <c r="F9" s="1">
        <f t="shared" si="1"/>
        <v>22815000</v>
      </c>
      <c r="G9" s="1">
        <v>22226000</v>
      </c>
      <c r="I9" s="6"/>
    </row>
    <row r="10" spans="1:9" x14ac:dyDescent="0.2">
      <c r="A10" s="17" t="s">
        <v>18</v>
      </c>
      <c r="B10" s="1">
        <v>7352000</v>
      </c>
      <c r="C10" s="1">
        <v>14237000</v>
      </c>
      <c r="D10" s="1">
        <v>0</v>
      </c>
      <c r="E10" s="1">
        <f t="shared" si="0"/>
        <v>14237000</v>
      </c>
      <c r="F10" s="1">
        <f t="shared" si="1"/>
        <v>21589000</v>
      </c>
      <c r="G10" s="1">
        <v>20984000</v>
      </c>
      <c r="I10" s="6"/>
    </row>
    <row r="11" spans="1:9" x14ac:dyDescent="0.2">
      <c r="A11" s="17" t="s">
        <v>19</v>
      </c>
      <c r="B11" s="1">
        <v>8042000</v>
      </c>
      <c r="C11" s="1">
        <v>868000</v>
      </c>
      <c r="D11" s="1">
        <v>14144000</v>
      </c>
      <c r="E11" s="1">
        <f t="shared" si="0"/>
        <v>15012000</v>
      </c>
      <c r="F11" s="1">
        <f t="shared" si="1"/>
        <v>23054000</v>
      </c>
      <c r="G11" s="1">
        <v>22401000</v>
      </c>
      <c r="I11" s="6"/>
    </row>
    <row r="12" spans="1:9" x14ac:dyDescent="0.2">
      <c r="A12" s="17" t="s">
        <v>20</v>
      </c>
      <c r="B12" s="1">
        <v>9881000</v>
      </c>
      <c r="C12" s="1">
        <v>0</v>
      </c>
      <c r="D12" s="1">
        <v>18575000</v>
      </c>
      <c r="E12" s="1">
        <f t="shared" si="0"/>
        <v>18575000</v>
      </c>
      <c r="F12" s="1">
        <f t="shared" si="1"/>
        <v>28456000</v>
      </c>
      <c r="G12" s="1">
        <v>27889000</v>
      </c>
      <c r="I12" s="6"/>
    </row>
    <row r="13" spans="1:9" x14ac:dyDescent="0.2">
      <c r="A13" s="17" t="s">
        <v>21</v>
      </c>
      <c r="B13" s="1">
        <v>10911000</v>
      </c>
      <c r="C13" s="1">
        <v>0</v>
      </c>
      <c r="D13" s="1">
        <v>20700000</v>
      </c>
      <c r="E13" s="1">
        <f t="shared" si="0"/>
        <v>20700000</v>
      </c>
      <c r="F13" s="1">
        <f t="shared" si="1"/>
        <v>31611000</v>
      </c>
      <c r="G13" s="1">
        <v>30819000</v>
      </c>
      <c r="I13" s="6"/>
    </row>
    <row r="14" spans="1:9" x14ac:dyDescent="0.2">
      <c r="A14" s="17" t="s">
        <v>22</v>
      </c>
      <c r="B14" s="1">
        <v>11047000</v>
      </c>
      <c r="C14" s="1">
        <v>0</v>
      </c>
      <c r="D14" s="1">
        <v>20650000</v>
      </c>
      <c r="E14" s="1">
        <f t="shared" si="0"/>
        <v>20650000</v>
      </c>
      <c r="F14" s="1">
        <f t="shared" si="1"/>
        <v>31697000</v>
      </c>
      <c r="G14" s="1">
        <v>31053000</v>
      </c>
      <c r="I14" s="6"/>
    </row>
    <row r="15" spans="1:9" x14ac:dyDescent="0.2">
      <c r="A15" s="17" t="s">
        <v>23</v>
      </c>
      <c r="B15" s="1">
        <v>9836000</v>
      </c>
      <c r="C15" s="1">
        <v>0</v>
      </c>
      <c r="D15" s="1">
        <v>18387000</v>
      </c>
      <c r="E15" s="1">
        <f t="shared" si="0"/>
        <v>18387000</v>
      </c>
      <c r="F15" s="1">
        <f t="shared" si="1"/>
        <v>28223000</v>
      </c>
      <c r="G15" s="1">
        <v>27490000</v>
      </c>
      <c r="I15" s="6"/>
    </row>
    <row r="16" spans="1:9" x14ac:dyDescent="0.2">
      <c r="A16" s="17" t="s">
        <v>24</v>
      </c>
      <c r="B16" s="1">
        <v>2242000</v>
      </c>
      <c r="C16" s="1">
        <v>9589000</v>
      </c>
      <c r="D16" s="1">
        <v>13697000</v>
      </c>
      <c r="E16" s="1">
        <f t="shared" si="0"/>
        <v>23286000</v>
      </c>
      <c r="F16" s="1">
        <f t="shared" si="1"/>
        <v>25528000</v>
      </c>
      <c r="G16" s="1">
        <v>24955000</v>
      </c>
      <c r="I16" s="6"/>
    </row>
    <row r="17" spans="1:9" x14ac:dyDescent="0.2">
      <c r="A17" s="17" t="s">
        <v>25</v>
      </c>
      <c r="B17" s="1">
        <v>0</v>
      </c>
      <c r="C17" s="1">
        <v>10232000</v>
      </c>
      <c r="D17" s="1">
        <v>9850000</v>
      </c>
      <c r="E17" s="1">
        <f t="shared" si="0"/>
        <v>20082000</v>
      </c>
      <c r="F17" s="1">
        <f t="shared" si="1"/>
        <v>20082000</v>
      </c>
      <c r="G17" s="1">
        <v>19684000</v>
      </c>
      <c r="I17" s="6"/>
    </row>
    <row r="18" spans="1:9" x14ac:dyDescent="0.2">
      <c r="A18" s="17" t="s">
        <v>26</v>
      </c>
      <c r="B18" s="1">
        <v>0</v>
      </c>
      <c r="C18" s="1">
        <v>10667000</v>
      </c>
      <c r="D18" s="1">
        <v>10256000</v>
      </c>
      <c r="E18" s="1">
        <f t="shared" si="0"/>
        <v>20923000</v>
      </c>
      <c r="F18" s="1">
        <f t="shared" si="1"/>
        <v>20923000</v>
      </c>
      <c r="G18" s="1">
        <v>20334000</v>
      </c>
      <c r="I18" s="6"/>
    </row>
    <row r="19" spans="1:9" x14ac:dyDescent="0.2">
      <c r="A19" s="17"/>
      <c r="B19" s="1"/>
      <c r="C19" s="1"/>
      <c r="D19" s="1"/>
      <c r="E19" s="1"/>
      <c r="F19" s="1"/>
      <c r="G19" s="1"/>
      <c r="I19" s="6"/>
    </row>
    <row r="20" spans="1:9" ht="13.5" thickBot="1" x14ac:dyDescent="0.25">
      <c r="A20" s="31" t="s">
        <v>0</v>
      </c>
      <c r="B20" s="3">
        <f t="shared" ref="B20:G20" si="2">SUM(B7:B19)</f>
        <v>80027000</v>
      </c>
      <c r="C20" s="3">
        <f t="shared" si="2"/>
        <v>89000000</v>
      </c>
      <c r="D20" s="3">
        <f t="shared" si="2"/>
        <v>126259000</v>
      </c>
      <c r="E20" s="3">
        <f t="shared" si="2"/>
        <v>215259000</v>
      </c>
      <c r="F20" s="3">
        <f t="shared" si="2"/>
        <v>295286000</v>
      </c>
      <c r="G20" s="3">
        <f t="shared" si="2"/>
        <v>288182000</v>
      </c>
      <c r="H20" s="10"/>
      <c r="I20" s="7"/>
    </row>
    <row r="21" spans="1:9" ht="13.5" thickTop="1" x14ac:dyDescent="0.2">
      <c r="A21" s="30"/>
      <c r="B21" s="1"/>
      <c r="C21" s="1"/>
      <c r="D21" s="1"/>
      <c r="E21" s="1"/>
      <c r="F21" s="1"/>
      <c r="G21" s="1"/>
    </row>
    <row r="22" spans="1:9" ht="13.5" thickBot="1" x14ac:dyDescent="0.25">
      <c r="A22" s="31" t="s">
        <v>28</v>
      </c>
      <c r="B22" s="3"/>
      <c r="C22" s="3"/>
      <c r="D22" s="3">
        <f>B20</f>
        <v>80027000</v>
      </c>
      <c r="E22" s="3"/>
      <c r="F22" s="3"/>
      <c r="G22" s="3"/>
      <c r="H22" s="10"/>
      <c r="I22" s="7"/>
    </row>
    <row r="23" spans="1:9" ht="14.25" thickTop="1" thickBot="1" x14ac:dyDescent="0.25">
      <c r="A23" s="31" t="s">
        <v>27</v>
      </c>
      <c r="B23" s="3"/>
      <c r="C23" s="3"/>
      <c r="D23" s="3">
        <f>C20+D20</f>
        <v>215259000</v>
      </c>
      <c r="E23" s="3"/>
      <c r="F23" s="3"/>
      <c r="G23" s="3"/>
      <c r="H23" s="10"/>
      <c r="I23" s="7"/>
    </row>
    <row r="24" spans="1:9" ht="13.5" thickTop="1" x14ac:dyDescent="0.2">
      <c r="A24" s="30"/>
    </row>
    <row r="25" spans="1:9" x14ac:dyDescent="0.2">
      <c r="A25" s="30"/>
    </row>
    <row r="26" spans="1:9" ht="13.5" thickBot="1" x14ac:dyDescent="0.25">
      <c r="A26" s="32"/>
      <c r="B26" s="2"/>
      <c r="C26" s="2"/>
      <c r="D26" s="2"/>
      <c r="E26" s="2"/>
      <c r="F26" s="2"/>
      <c r="G26" s="2"/>
      <c r="H26" s="2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FCFEB-2565-46D5-A060-9002B9553905}">
  <dimension ref="A1:I24"/>
  <sheetViews>
    <sheetView workbookViewId="0">
      <selection sqref="A1:I23"/>
    </sheetView>
  </sheetViews>
  <sheetFormatPr defaultRowHeight="12.75" x14ac:dyDescent="0.2"/>
  <cols>
    <col min="1" max="1" width="27.7109375" customWidth="1"/>
    <col min="2" max="5" width="13.28515625" customWidth="1"/>
    <col min="6" max="6" width="14.7109375" customWidth="1"/>
    <col min="7" max="7" width="14.42578125" customWidth="1"/>
    <col min="8" max="8" width="17.7109375" customWidth="1"/>
  </cols>
  <sheetData>
    <row r="1" spans="1:9" ht="15" x14ac:dyDescent="0.25">
      <c r="A1" s="21" t="s">
        <v>4</v>
      </c>
      <c r="B1" s="26"/>
      <c r="C1" s="26"/>
      <c r="D1" s="26"/>
      <c r="E1" s="26"/>
      <c r="F1" s="26"/>
      <c r="G1" s="26"/>
      <c r="H1" s="26"/>
      <c r="I1" s="8"/>
    </row>
    <row r="2" spans="1:9" ht="15" x14ac:dyDescent="0.25">
      <c r="A2" s="23" t="s">
        <v>50</v>
      </c>
      <c r="B2" s="27"/>
      <c r="C2" s="27"/>
      <c r="D2" s="27"/>
      <c r="E2" s="27"/>
      <c r="F2" s="27"/>
      <c r="G2" s="27"/>
      <c r="H2" s="27"/>
      <c r="I2" s="8"/>
    </row>
    <row r="3" spans="1:9" ht="15" x14ac:dyDescent="0.25">
      <c r="A3" s="14"/>
      <c r="B3" s="28" t="s">
        <v>5</v>
      </c>
      <c r="C3" s="28" t="s">
        <v>5</v>
      </c>
      <c r="D3" s="28" t="s">
        <v>5</v>
      </c>
      <c r="E3" s="33" t="s">
        <v>33</v>
      </c>
      <c r="F3" s="28" t="s">
        <v>11</v>
      </c>
      <c r="G3" s="28" t="s">
        <v>14</v>
      </c>
      <c r="H3" s="28"/>
      <c r="I3" s="8"/>
    </row>
    <row r="4" spans="1:9" ht="15" x14ac:dyDescent="0.25">
      <c r="A4" s="14"/>
      <c r="B4" s="28" t="s">
        <v>6</v>
      </c>
      <c r="C4" s="28" t="s">
        <v>8</v>
      </c>
      <c r="D4" s="28" t="s">
        <v>8</v>
      </c>
      <c r="E4" s="28" t="s">
        <v>0</v>
      </c>
      <c r="F4" s="28" t="s">
        <v>12</v>
      </c>
      <c r="G4" s="28" t="s">
        <v>12</v>
      </c>
      <c r="H4" s="28"/>
      <c r="I4" s="8"/>
    </row>
    <row r="5" spans="1:9" ht="15" x14ac:dyDescent="0.25">
      <c r="A5" s="15"/>
      <c r="B5" s="29" t="s">
        <v>7</v>
      </c>
      <c r="C5" s="29" t="s">
        <v>9</v>
      </c>
      <c r="D5" s="29" t="s">
        <v>10</v>
      </c>
      <c r="E5" s="29" t="s">
        <v>34</v>
      </c>
      <c r="F5" s="29" t="s">
        <v>13</v>
      </c>
      <c r="G5" s="29" t="s">
        <v>13</v>
      </c>
      <c r="H5" s="29"/>
      <c r="I5" s="9"/>
    </row>
    <row r="6" spans="1:9" x14ac:dyDescent="0.2">
      <c r="A6" s="30" t="s">
        <v>2</v>
      </c>
      <c r="B6" s="1"/>
      <c r="C6" s="1"/>
      <c r="D6" s="1"/>
      <c r="E6" s="1"/>
      <c r="F6" s="1"/>
      <c r="G6" s="1"/>
    </row>
    <row r="7" spans="1:9" x14ac:dyDescent="0.2">
      <c r="A7" s="17" t="s">
        <v>15</v>
      </c>
      <c r="B7" s="1">
        <v>0</v>
      </c>
      <c r="C7" s="1">
        <v>11113000</v>
      </c>
      <c r="D7" s="1">
        <v>10730000</v>
      </c>
      <c r="E7" s="1">
        <f>SUM(C7,D7)</f>
        <v>21843000</v>
      </c>
      <c r="F7" s="1">
        <f>SUM(B7:D7)</f>
        <v>21843000</v>
      </c>
      <c r="G7" s="1">
        <v>21296000</v>
      </c>
      <c r="I7" s="5"/>
    </row>
    <row r="8" spans="1:9" x14ac:dyDescent="0.2">
      <c r="A8" s="17" t="s">
        <v>16</v>
      </c>
      <c r="B8" s="1">
        <v>0</v>
      </c>
      <c r="C8" s="1">
        <v>9881000</v>
      </c>
      <c r="D8" s="1">
        <v>9576000</v>
      </c>
      <c r="E8" s="1">
        <f t="shared" ref="E8:E18" si="0">SUM(C8,D8)</f>
        <v>19457000</v>
      </c>
      <c r="F8" s="1">
        <f t="shared" ref="F8:F18" si="1">SUM(B8:D8)</f>
        <v>19457000</v>
      </c>
      <c r="G8" s="1">
        <v>18980000</v>
      </c>
      <c r="I8" s="6"/>
    </row>
    <row r="9" spans="1:9" x14ac:dyDescent="0.2">
      <c r="A9" s="17" t="s">
        <v>17</v>
      </c>
      <c r="B9" s="1">
        <v>0</v>
      </c>
      <c r="C9" s="1">
        <v>11203000</v>
      </c>
      <c r="D9" s="1">
        <v>10915000</v>
      </c>
      <c r="E9" s="1">
        <f t="shared" si="0"/>
        <v>22118000</v>
      </c>
      <c r="F9" s="1">
        <f t="shared" si="1"/>
        <v>22118000</v>
      </c>
      <c r="G9" s="1">
        <v>21145000</v>
      </c>
      <c r="I9" s="6"/>
    </row>
    <row r="10" spans="1:9" x14ac:dyDescent="0.2">
      <c r="A10" s="17" t="s">
        <v>18</v>
      </c>
      <c r="B10" s="1">
        <v>0</v>
      </c>
      <c r="C10" s="1">
        <v>10809000</v>
      </c>
      <c r="D10" s="1">
        <v>10542000</v>
      </c>
      <c r="E10" s="1">
        <f t="shared" si="0"/>
        <v>21351000</v>
      </c>
      <c r="F10" s="1">
        <f t="shared" si="1"/>
        <v>21351000</v>
      </c>
      <c r="G10" s="1">
        <v>20734000</v>
      </c>
      <c r="I10" s="6"/>
    </row>
    <row r="11" spans="1:9" x14ac:dyDescent="0.2">
      <c r="A11" s="17" t="s">
        <v>19</v>
      </c>
      <c r="B11" s="1">
        <v>6840000</v>
      </c>
      <c r="C11" s="1">
        <v>3609000</v>
      </c>
      <c r="D11" s="1">
        <v>16421000</v>
      </c>
      <c r="E11" s="1">
        <f t="shared" si="0"/>
        <v>20030000</v>
      </c>
      <c r="F11" s="1">
        <f>SUM(B11:D11)</f>
        <v>26870000</v>
      </c>
      <c r="G11" s="1">
        <v>26239000</v>
      </c>
      <c r="I11" s="6"/>
    </row>
    <row r="12" spans="1:9" x14ac:dyDescent="0.2">
      <c r="A12" s="17" t="s">
        <v>20</v>
      </c>
      <c r="B12" s="1">
        <v>0</v>
      </c>
      <c r="C12" s="1">
        <v>15136000</v>
      </c>
      <c r="D12" s="1">
        <v>16240000</v>
      </c>
      <c r="E12" s="1">
        <f t="shared" si="0"/>
        <v>31376000</v>
      </c>
      <c r="F12" s="1">
        <f t="shared" si="1"/>
        <v>31376000</v>
      </c>
      <c r="G12" s="1">
        <v>31376000</v>
      </c>
      <c r="I12" s="6"/>
    </row>
    <row r="13" spans="1:9" x14ac:dyDescent="0.2">
      <c r="A13" s="17" t="s">
        <v>21</v>
      </c>
      <c r="B13" s="1">
        <v>0</v>
      </c>
      <c r="C13" s="1">
        <v>14325000</v>
      </c>
      <c r="D13" s="1">
        <v>17316000</v>
      </c>
      <c r="E13" s="1">
        <f t="shared" si="0"/>
        <v>31641000</v>
      </c>
      <c r="F13" s="1">
        <f t="shared" si="1"/>
        <v>31641000</v>
      </c>
      <c r="G13" s="1">
        <v>31641000</v>
      </c>
      <c r="I13" s="6"/>
    </row>
    <row r="14" spans="1:9" x14ac:dyDescent="0.2">
      <c r="A14" s="17" t="s">
        <v>22</v>
      </c>
      <c r="B14" s="1">
        <v>0</v>
      </c>
      <c r="C14" s="1">
        <v>13943000</v>
      </c>
      <c r="D14" s="1">
        <v>15234000</v>
      </c>
      <c r="E14" s="1">
        <f t="shared" si="0"/>
        <v>29177000</v>
      </c>
      <c r="F14" s="1">
        <f t="shared" si="1"/>
        <v>29177000</v>
      </c>
      <c r="G14" s="1">
        <v>29133000</v>
      </c>
      <c r="I14" s="6"/>
    </row>
    <row r="15" spans="1:9" x14ac:dyDescent="0.2">
      <c r="A15" s="17" t="s">
        <v>23</v>
      </c>
      <c r="B15" s="1">
        <v>0</v>
      </c>
      <c r="C15" s="1">
        <v>14427000</v>
      </c>
      <c r="D15" s="1">
        <v>16227000</v>
      </c>
      <c r="E15" s="1">
        <f t="shared" si="0"/>
        <v>30654000</v>
      </c>
      <c r="F15" s="1">
        <f t="shared" si="1"/>
        <v>30654000</v>
      </c>
      <c r="G15" s="1">
        <v>30349000</v>
      </c>
      <c r="I15" s="6"/>
    </row>
    <row r="16" spans="1:9" x14ac:dyDescent="0.2">
      <c r="A16" s="17" t="s">
        <v>24</v>
      </c>
      <c r="B16" s="1">
        <v>0</v>
      </c>
      <c r="C16" s="1">
        <v>18728000</v>
      </c>
      <c r="D16" s="1">
        <v>12644000</v>
      </c>
      <c r="E16" s="1">
        <f t="shared" si="0"/>
        <v>31372000</v>
      </c>
      <c r="F16" s="1">
        <f t="shared" si="1"/>
        <v>31372000</v>
      </c>
      <c r="G16" s="1">
        <v>31372000</v>
      </c>
      <c r="I16" s="6"/>
    </row>
    <row r="17" spans="1:9" x14ac:dyDescent="0.2">
      <c r="A17" s="17" t="s">
        <v>25</v>
      </c>
      <c r="B17" s="1">
        <v>2694000</v>
      </c>
      <c r="C17" s="1">
        <v>6224000</v>
      </c>
      <c r="D17" s="1">
        <v>12354000</v>
      </c>
      <c r="E17" s="1">
        <f t="shared" si="0"/>
        <v>18578000</v>
      </c>
      <c r="F17" s="1">
        <f t="shared" si="1"/>
        <v>21272000</v>
      </c>
      <c r="G17" s="1">
        <v>21164000</v>
      </c>
      <c r="I17" s="6"/>
    </row>
    <row r="18" spans="1:9" x14ac:dyDescent="0.2">
      <c r="A18" s="17" t="s">
        <v>26</v>
      </c>
      <c r="B18" s="1">
        <v>7488000</v>
      </c>
      <c r="C18" s="1">
        <v>0</v>
      </c>
      <c r="D18" s="1">
        <v>14378000</v>
      </c>
      <c r="E18" s="1">
        <f t="shared" si="0"/>
        <v>14378000</v>
      </c>
      <c r="F18" s="1">
        <f t="shared" si="1"/>
        <v>21866000</v>
      </c>
      <c r="G18" s="1">
        <v>20919000</v>
      </c>
      <c r="I18" s="6"/>
    </row>
    <row r="19" spans="1:9" x14ac:dyDescent="0.2">
      <c r="A19" s="17"/>
      <c r="B19" s="1"/>
      <c r="C19" s="1"/>
      <c r="D19" s="1"/>
      <c r="E19" s="1"/>
      <c r="F19" s="1"/>
      <c r="G19" s="1"/>
      <c r="I19" s="6"/>
    </row>
    <row r="20" spans="1:9" ht="13.5" thickBot="1" x14ac:dyDescent="0.25">
      <c r="A20" s="31" t="s">
        <v>0</v>
      </c>
      <c r="B20" s="3">
        <f t="shared" ref="B20:G20" si="2">SUM(B7:B19)</f>
        <v>17022000</v>
      </c>
      <c r="C20" s="3">
        <f t="shared" si="2"/>
        <v>129398000</v>
      </c>
      <c r="D20" s="3">
        <f t="shared" si="2"/>
        <v>162577000</v>
      </c>
      <c r="E20" s="3">
        <f t="shared" si="2"/>
        <v>291975000</v>
      </c>
      <c r="F20" s="3">
        <f t="shared" si="2"/>
        <v>308997000</v>
      </c>
      <c r="G20" s="3">
        <f t="shared" si="2"/>
        <v>304348000</v>
      </c>
      <c r="H20" s="10"/>
      <c r="I20" s="7"/>
    </row>
    <row r="21" spans="1:9" ht="13.5" thickTop="1" x14ac:dyDescent="0.2">
      <c r="A21" s="30"/>
      <c r="B21" s="1"/>
      <c r="C21" s="1"/>
      <c r="D21" s="1"/>
      <c r="E21" s="1"/>
      <c r="F21" s="1"/>
      <c r="G21" s="1"/>
    </row>
    <row r="22" spans="1:9" ht="13.5" thickBot="1" x14ac:dyDescent="0.25">
      <c r="A22" s="31" t="s">
        <v>28</v>
      </c>
      <c r="B22" s="3"/>
      <c r="C22" s="3"/>
      <c r="D22" s="3">
        <f>B20</f>
        <v>17022000</v>
      </c>
      <c r="E22" s="3"/>
      <c r="F22" s="3"/>
      <c r="G22" s="3"/>
      <c r="H22" s="10"/>
      <c r="I22" s="7"/>
    </row>
    <row r="23" spans="1:9" ht="14.25" thickTop="1" thickBot="1" x14ac:dyDescent="0.25">
      <c r="A23" s="31" t="s">
        <v>27</v>
      </c>
      <c r="B23" s="3"/>
      <c r="C23" s="3"/>
      <c r="D23" s="3">
        <f>C20+D20</f>
        <v>291975000</v>
      </c>
      <c r="E23" s="3"/>
      <c r="F23" s="3"/>
      <c r="G23" s="3"/>
      <c r="H23" s="10"/>
      <c r="I23" s="7"/>
    </row>
    <row r="24" spans="1:9" ht="13.5" thickTop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193A-2C50-4E3B-8B79-5CD3405D307E}">
  <dimension ref="A1:H26"/>
  <sheetViews>
    <sheetView tabSelected="1" workbookViewId="0">
      <selection activeCell="K35" sqref="K35"/>
    </sheetView>
  </sheetViews>
  <sheetFormatPr defaultRowHeight="12.75" x14ac:dyDescent="0.2"/>
  <cols>
    <col min="1" max="1" width="27.7109375" customWidth="1"/>
    <col min="2" max="5" width="13.28515625" customWidth="1"/>
    <col min="6" max="6" width="14.7109375" customWidth="1"/>
    <col min="7" max="7" width="14.42578125" customWidth="1"/>
    <col min="8" max="8" width="17.7109375" customWidth="1"/>
  </cols>
  <sheetData>
    <row r="1" spans="1:8" ht="15" x14ac:dyDescent="0.25">
      <c r="A1" s="21" t="s">
        <v>4</v>
      </c>
      <c r="B1" s="26"/>
      <c r="C1" s="26"/>
      <c r="D1" s="26"/>
      <c r="E1" s="26"/>
      <c r="F1" s="26"/>
      <c r="G1" s="26"/>
      <c r="H1" s="26"/>
    </row>
    <row r="2" spans="1:8" ht="15" x14ac:dyDescent="0.25">
      <c r="A2" s="23" t="s">
        <v>51</v>
      </c>
      <c r="B2" s="27"/>
      <c r="C2" s="27"/>
      <c r="D2" s="27"/>
      <c r="E2" s="27"/>
      <c r="F2" s="27"/>
      <c r="G2" s="27"/>
      <c r="H2" s="27"/>
    </row>
    <row r="3" spans="1:8" ht="15" x14ac:dyDescent="0.25">
      <c r="A3" s="14"/>
      <c r="B3" s="28" t="s">
        <v>5</v>
      </c>
      <c r="C3" s="28" t="s">
        <v>5</v>
      </c>
      <c r="D3" s="28" t="s">
        <v>5</v>
      </c>
      <c r="E3" s="33" t="s">
        <v>33</v>
      </c>
      <c r="F3" s="28" t="s">
        <v>11</v>
      </c>
      <c r="G3" s="28" t="s">
        <v>14</v>
      </c>
      <c r="H3" s="28"/>
    </row>
    <row r="4" spans="1:8" ht="15" x14ac:dyDescent="0.25">
      <c r="A4" s="14"/>
      <c r="B4" s="28" t="s">
        <v>6</v>
      </c>
      <c r="C4" s="28" t="s">
        <v>8</v>
      </c>
      <c r="D4" s="28" t="s">
        <v>8</v>
      </c>
      <c r="E4" s="28" t="s">
        <v>0</v>
      </c>
      <c r="F4" s="28" t="s">
        <v>12</v>
      </c>
      <c r="G4" s="28" t="s">
        <v>12</v>
      </c>
      <c r="H4" s="28"/>
    </row>
    <row r="5" spans="1:8" ht="15" x14ac:dyDescent="0.25">
      <c r="A5" s="15"/>
      <c r="B5" s="29" t="s">
        <v>7</v>
      </c>
      <c r="C5" s="29" t="s">
        <v>9</v>
      </c>
      <c r="D5" s="29" t="s">
        <v>10</v>
      </c>
      <c r="E5" s="29" t="s">
        <v>34</v>
      </c>
      <c r="F5" s="29" t="s">
        <v>13</v>
      </c>
      <c r="G5" s="29" t="s">
        <v>13</v>
      </c>
      <c r="H5" s="29"/>
    </row>
    <row r="6" spans="1:8" x14ac:dyDescent="0.2">
      <c r="A6" s="30" t="s">
        <v>2</v>
      </c>
      <c r="B6" s="1"/>
      <c r="C6" s="1"/>
      <c r="D6" s="1"/>
      <c r="E6" s="1"/>
      <c r="F6" s="1"/>
      <c r="G6" s="1"/>
    </row>
    <row r="7" spans="1:8" x14ac:dyDescent="0.2">
      <c r="A7" s="17" t="s">
        <v>15</v>
      </c>
      <c r="B7" s="1">
        <v>7863000</v>
      </c>
      <c r="C7" s="1">
        <v>0</v>
      </c>
      <c r="D7" s="1">
        <v>14939000</v>
      </c>
      <c r="E7" s="1">
        <f>SUM(C7,D7)</f>
        <v>14939000</v>
      </c>
      <c r="F7" s="1">
        <f>SUM(B7:D7)</f>
        <v>22802000</v>
      </c>
      <c r="G7" s="1">
        <v>21669000</v>
      </c>
    </row>
    <row r="8" spans="1:8" x14ac:dyDescent="0.2">
      <c r="A8" s="17" t="s">
        <v>16</v>
      </c>
      <c r="B8" s="1">
        <v>7347000</v>
      </c>
      <c r="C8" s="1">
        <v>0</v>
      </c>
      <c r="D8" s="1">
        <v>14014000</v>
      </c>
      <c r="E8" s="1">
        <f t="shared" ref="E8:E18" si="0">SUM(C8,D8)</f>
        <v>14014000</v>
      </c>
      <c r="F8" s="1">
        <f t="shared" ref="F8:F18" si="1">SUM(B8:D8)</f>
        <v>21361000</v>
      </c>
      <c r="G8" s="1">
        <v>20445000</v>
      </c>
    </row>
    <row r="9" spans="1:8" x14ac:dyDescent="0.2">
      <c r="A9" s="17" t="s">
        <v>17</v>
      </c>
      <c r="B9" s="1">
        <v>7848000</v>
      </c>
      <c r="C9" s="1">
        <v>0</v>
      </c>
      <c r="D9" s="1">
        <v>14806000</v>
      </c>
      <c r="E9" s="1">
        <f t="shared" si="0"/>
        <v>14806000</v>
      </c>
      <c r="F9" s="1">
        <f>SUM(B9:D9)</f>
        <v>22654000</v>
      </c>
      <c r="G9" s="1">
        <v>21662000</v>
      </c>
    </row>
    <row r="10" spans="1:8" x14ac:dyDescent="0.2">
      <c r="A10" s="17" t="s">
        <v>18</v>
      </c>
      <c r="B10" s="1">
        <v>7953000</v>
      </c>
      <c r="C10" s="1">
        <v>0</v>
      </c>
      <c r="D10" s="1">
        <v>14824000</v>
      </c>
      <c r="E10" s="1">
        <f t="shared" si="0"/>
        <v>14824000</v>
      </c>
      <c r="F10" s="1">
        <f t="shared" si="1"/>
        <v>22777000</v>
      </c>
      <c r="G10" s="1">
        <v>21840000</v>
      </c>
    </row>
    <row r="11" spans="1:8" x14ac:dyDescent="0.2">
      <c r="A11" s="17" t="s">
        <v>19</v>
      </c>
      <c r="B11" s="1">
        <v>8388000</v>
      </c>
      <c r="C11" s="1">
        <v>0</v>
      </c>
      <c r="D11" s="1">
        <v>15576000</v>
      </c>
      <c r="E11" s="1">
        <f t="shared" si="0"/>
        <v>15576000</v>
      </c>
      <c r="F11" s="1">
        <f>SUM(B11:D11)</f>
        <v>23964000</v>
      </c>
      <c r="G11" s="1">
        <v>22857000</v>
      </c>
    </row>
    <row r="12" spans="1:8" x14ac:dyDescent="0.2">
      <c r="A12" s="17" t="s">
        <v>20</v>
      </c>
      <c r="B12" s="1">
        <v>8551000</v>
      </c>
      <c r="C12" s="1">
        <v>0</v>
      </c>
      <c r="D12" s="1">
        <v>15753000</v>
      </c>
      <c r="E12" s="1">
        <f t="shared" si="0"/>
        <v>15753000</v>
      </c>
      <c r="F12" s="1">
        <f t="shared" si="1"/>
        <v>24304000</v>
      </c>
      <c r="G12" s="1">
        <v>23182000</v>
      </c>
    </row>
    <row r="13" spans="1:8" x14ac:dyDescent="0.2">
      <c r="A13" s="17" t="s">
        <v>21</v>
      </c>
      <c r="B13" s="1">
        <v>1498000</v>
      </c>
      <c r="C13" s="1">
        <v>9684000</v>
      </c>
      <c r="D13" s="1">
        <v>13235000</v>
      </c>
      <c r="E13" s="1">
        <f t="shared" si="0"/>
        <v>22919000</v>
      </c>
      <c r="F13" s="1">
        <f t="shared" si="1"/>
        <v>24417000</v>
      </c>
      <c r="G13" s="1">
        <v>24588000</v>
      </c>
    </row>
    <row r="14" spans="1:8" x14ac:dyDescent="0.2">
      <c r="A14" s="17" t="s">
        <v>22</v>
      </c>
      <c r="B14" s="1">
        <v>215000</v>
      </c>
      <c r="C14" s="1">
        <v>12051000</v>
      </c>
      <c r="D14" s="1">
        <v>12010000</v>
      </c>
      <c r="E14" s="1">
        <f t="shared" si="0"/>
        <v>24061000</v>
      </c>
      <c r="F14" s="1">
        <f t="shared" si="1"/>
        <v>24276000</v>
      </c>
      <c r="G14" s="1">
        <v>23439000</v>
      </c>
    </row>
    <row r="15" spans="1:8" x14ac:dyDescent="0.2">
      <c r="A15" s="17" t="s">
        <v>23</v>
      </c>
      <c r="B15" s="1">
        <v>6025000</v>
      </c>
      <c r="C15" s="1">
        <v>5230000</v>
      </c>
      <c r="D15" s="1">
        <v>16521000</v>
      </c>
      <c r="E15" s="1">
        <f t="shared" si="0"/>
        <v>21751000</v>
      </c>
      <c r="F15" s="1">
        <f t="shared" si="1"/>
        <v>27776000</v>
      </c>
      <c r="G15" s="1">
        <v>26788000</v>
      </c>
    </row>
    <row r="16" spans="1:8" x14ac:dyDescent="0.2">
      <c r="A16" s="17" t="s">
        <v>24</v>
      </c>
      <c r="B16" s="1">
        <v>2077000</v>
      </c>
      <c r="C16" s="1">
        <v>10956000</v>
      </c>
      <c r="D16" s="1">
        <v>14806000</v>
      </c>
      <c r="E16" s="1">
        <f t="shared" si="0"/>
        <v>25762000</v>
      </c>
      <c r="F16" s="1">
        <f t="shared" si="1"/>
        <v>27839000</v>
      </c>
      <c r="G16" s="1">
        <v>26699000</v>
      </c>
    </row>
    <row r="17" spans="1:8" x14ac:dyDescent="0.2">
      <c r="A17" s="17" t="s">
        <v>25</v>
      </c>
      <c r="B17" s="1">
        <v>7410000</v>
      </c>
      <c r="C17" s="1">
        <v>0</v>
      </c>
      <c r="D17" s="1">
        <v>13354000</v>
      </c>
      <c r="E17" s="1">
        <f t="shared" si="0"/>
        <v>13354000</v>
      </c>
      <c r="F17" s="1">
        <f t="shared" si="1"/>
        <v>20764000</v>
      </c>
      <c r="G17" s="1">
        <v>19844000</v>
      </c>
    </row>
    <row r="18" spans="1:8" x14ac:dyDescent="0.2">
      <c r="A18" s="17" t="s">
        <v>26</v>
      </c>
      <c r="B18" s="1">
        <v>7687000</v>
      </c>
      <c r="C18" s="1">
        <v>0</v>
      </c>
      <c r="D18" s="1">
        <v>13863000</v>
      </c>
      <c r="E18" s="1">
        <f t="shared" si="0"/>
        <v>13863000</v>
      </c>
      <c r="F18" s="1">
        <f t="shared" si="1"/>
        <v>21550000</v>
      </c>
      <c r="G18" s="1">
        <v>20384000</v>
      </c>
    </row>
    <row r="19" spans="1:8" x14ac:dyDescent="0.2">
      <c r="A19" s="17"/>
      <c r="B19" s="1"/>
      <c r="C19" s="1"/>
      <c r="D19" s="1"/>
      <c r="E19" s="1"/>
      <c r="F19" s="1"/>
      <c r="G19" s="1"/>
    </row>
    <row r="20" spans="1:8" x14ac:dyDescent="0.2">
      <c r="A20" s="31" t="s">
        <v>0</v>
      </c>
      <c r="B20" s="3">
        <f t="shared" ref="B20:G20" si="2">SUM(B7:B19)</f>
        <v>72862000</v>
      </c>
      <c r="C20" s="3">
        <f t="shared" si="2"/>
        <v>37921000</v>
      </c>
      <c r="D20" s="3">
        <f t="shared" si="2"/>
        <v>173701000</v>
      </c>
      <c r="E20" s="3">
        <f t="shared" si="2"/>
        <v>211622000</v>
      </c>
      <c r="F20" s="3">
        <f t="shared" si="2"/>
        <v>284484000</v>
      </c>
      <c r="G20" s="3">
        <f t="shared" si="2"/>
        <v>273397000</v>
      </c>
      <c r="H20" s="3"/>
    </row>
    <row r="21" spans="1:8" x14ac:dyDescent="0.2">
      <c r="A21" s="30"/>
      <c r="B21" s="1"/>
      <c r="C21" s="1"/>
      <c r="D21" s="1"/>
      <c r="E21" s="1"/>
      <c r="F21" s="1"/>
      <c r="G21" s="1"/>
    </row>
    <row r="22" spans="1:8" x14ac:dyDescent="0.2">
      <c r="A22" s="31" t="s">
        <v>28</v>
      </c>
      <c r="B22" s="3"/>
      <c r="C22" s="3"/>
      <c r="D22" s="3">
        <f>B20</f>
        <v>72862000</v>
      </c>
      <c r="E22" s="3"/>
      <c r="F22" s="3"/>
      <c r="G22" s="3"/>
      <c r="H22" s="10"/>
    </row>
    <row r="23" spans="1:8" x14ac:dyDescent="0.2">
      <c r="A23" s="31" t="s">
        <v>27</v>
      </c>
      <c r="B23" s="3"/>
      <c r="C23" s="3"/>
      <c r="D23" s="3">
        <f>C20+D20</f>
        <v>211622000</v>
      </c>
      <c r="E23" s="3"/>
      <c r="F23" s="3"/>
      <c r="G23" s="3"/>
      <c r="H23" s="10"/>
    </row>
    <row r="24" spans="1:8" x14ac:dyDescent="0.2">
      <c r="A24" s="30"/>
    </row>
    <row r="25" spans="1:8" x14ac:dyDescent="0.2">
      <c r="A25" s="30"/>
    </row>
    <row r="26" spans="1:8" ht="13.5" thickBot="1" x14ac:dyDescent="0.25">
      <c r="A26" s="32"/>
      <c r="B26" s="2"/>
      <c r="C26" s="2"/>
      <c r="D26" s="2"/>
      <c r="E26" s="2"/>
      <c r="F26" s="2"/>
      <c r="G26" s="2"/>
      <c r="H26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4DFBFA064D7743B7D0DEC238F641DE" ma:contentTypeVersion="11" ma:contentTypeDescription="Create a new document." ma:contentTypeScope="" ma:versionID="c5196c33d965cd5b5ceaa739e3c10502">
  <xsd:schema xmlns:xsd="http://www.w3.org/2001/XMLSchema" xmlns:xs="http://www.w3.org/2001/XMLSchema" xmlns:p="http://schemas.microsoft.com/office/2006/metadata/properties" xmlns:ns2="f3c35c3c-61c5-48b3-8a47-b7f387cf713d" xmlns:ns3="c5776fe3-2404-4757-b10b-312253e549fc" targetNamespace="http://schemas.microsoft.com/office/2006/metadata/properties" ma:root="true" ma:fieldsID="16d08d7244eb2640dc18a3b121e3f912" ns2:_="" ns3:_="">
    <xsd:import namespace="f3c35c3c-61c5-48b3-8a47-b7f387cf713d"/>
    <xsd:import namespace="c5776fe3-2404-4757-b10b-312253e549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35c3c-61c5-48b3-8a47-b7f387cf71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f7bfeb-facf-4b5f-9b14-51f21a97b7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76fe3-2404-4757-b10b-312253e549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58485e-25b4-4f17-a772-b3635bd72cbd}" ma:internalName="TaxCatchAll" ma:showField="CatchAllData" ma:web="c5776fe3-2404-4757-b10b-312253e549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776fe3-2404-4757-b10b-312253e549fc"/>
    <lcf76f155ced4ddcb4097134ff3c332f xmlns="f3c35c3c-61c5-48b3-8a47-b7f387cf71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836EA8-21AC-4670-8009-B82DE0A083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331FDC-A8C5-4F31-83E9-30DC81B9F5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c35c3c-61c5-48b3-8a47-b7f387cf713d"/>
    <ds:schemaRef ds:uri="c5776fe3-2404-4757-b10b-312253e549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1CF3E7-A5CF-42F5-BB50-77FF20607360}">
  <ds:schemaRefs>
    <ds:schemaRef ds:uri="http://schemas.microsoft.com/office/2006/metadata/properties"/>
    <ds:schemaRef ds:uri="http://schemas.microsoft.com/office/infopath/2007/PartnerControls"/>
    <ds:schemaRef ds:uri="c5776fe3-2404-4757-b10b-312253e549fc"/>
    <ds:schemaRef ds:uri="f3c35c3c-61c5-48b3-8a47-b7f387cf71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'2005'!Print_Area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LIME SLUDGE DISPOSAL</dc:title>
  <dc:subject>WATER PLANT</dc:subject>
  <dc:creator>JERRY</dc:creator>
  <cp:lastModifiedBy>Melanie Beck</cp:lastModifiedBy>
  <cp:lastPrinted>2015-06-16T16:51:56Z</cp:lastPrinted>
  <dcterms:created xsi:type="dcterms:W3CDTF">1999-01-25T17:00:55Z</dcterms:created>
  <dcterms:modified xsi:type="dcterms:W3CDTF">2025-04-22T19:29:06Z</dcterms:modified>
</cp:coreProperties>
</file>